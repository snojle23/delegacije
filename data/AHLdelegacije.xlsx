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  <sheet sheetId="6" name="Sheet1" state="visible" r:id="rId8"/>
  </sheets>
  <calcPr calcId="171027"/>
</workbook>
</file>

<file path=xl/sharedStrings.xml><?xml version="1.0" encoding="utf-8"?>
<sst xmlns="http://schemas.openxmlformats.org/spreadsheetml/2006/main" count="1755" uniqueCount="307">
  <si>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</si>
  <si>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</si>
  <si>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</si>
  <si>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</si>
  <si>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</si>
  <si>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</si>
  <si>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</si>
  <si>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</si>
  <si>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</si>
  <si>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</si>
  <si>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</si>
  <si>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</si>
  <si>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</si>
  <si>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</si>
  <si>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</si>
  <si>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</si>
  <si>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</si>
  <si>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</si>
  <si>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</si>
  <si>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</si>
  <si>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</si>
  <si>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</si>
  <si>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</si>
  <si>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</si>
  <si>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</si>
  <si>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</si>
  <si>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</si>
  <si>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</si>
  <si>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</si>
  <si>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</si>
  <si>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</si>
  <si>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</si>
  <si>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</si>
  <si>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</si>
  <si>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</si>
  <si>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</si>
  <si>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</si>
  <si>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</si>
  <si>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</si>
  <si>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</si>
  <si>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</si>
  <si>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</si>
  <si>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</si>
  <si>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</si>
  <si>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</si>
  <si>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</si>
  <si>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</si>
  <si>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</si>
  <si>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</si>
  <si>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</si>
  <si>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</si>
  <si>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</si>
  <si>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</si>
  <si>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</si>
  <si>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</si>
  <si>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</si>
  <si>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</si>
  <si>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</si>
  <si>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</si>
  <si>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</si>
  <si>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</si>
  <si>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</si>
  <si>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</si>
  <si>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</si>
  <si>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</si>
  <si>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</si>
  <si>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</si>
  <si>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</si>
  <si>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</si>
  <si>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</si>
  <si>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</si>
  <si>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</si>
  <si>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</si>
  <si>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</si>
  <si>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</si>
  <si>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</si>
  <si>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</si>
  <si>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</si>
  <si>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</si>
  <si>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</si>
  <si>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</si>
  <si>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</si>
  <si>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</si>
  <si>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</si>
  <si>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</si>
  <si>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</si>
  <si>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</si>
  <si>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2025-10-10</t>
  </si>
  <si>
    <t>2025-10-17</t>
  </si>
  <si>
    <t>2025-10-30</t>
  </si>
  <si>
    <t>2025-12-06</t>
  </si>
  <si>
    <t>2025-11-29</t>
  </si>
  <si>
    <t>2025-12-20</t>
  </si>
  <si>
    <t>2025-11-13</t>
  </si>
  <si>
    <t>2025-11-15</t>
  </si>
  <si>
    <t>zbrisano</t>
  </si>
  <si>
    <t>2025-10-26</t>
  </si>
  <si>
    <t>2025-11-12</t>
  </si>
  <si>
    <t>2025-11-25</t>
  </si>
  <si>
    <t>2025-11-08</t>
  </si>
  <si>
    <t>2025-11-09</t>
  </si>
  <si>
    <t>2025-11-07</t>
  </si>
  <si>
    <t>2025-11-23</t>
  </si>
  <si>
    <t>2025-11-05</t>
  </si>
  <si>
    <t>2025-10-29</t>
  </si>
  <si>
    <t>2025-12-03</t>
  </si>
  <si>
    <t>2025-12-13</t>
  </si>
  <si>
    <t>2025-12-16</t>
  </si>
  <si>
    <t>2025-11-11</t>
  </si>
  <si>
    <t>2025-11-30</t>
  </si>
  <si>
    <t>2025-11-28</t>
  </si>
  <si>
    <t>2025-12-07</t>
  </si>
  <si>
    <t>2025-11-26</t>
  </si>
  <si>
    <t>2026-01-27</t>
  </si>
  <si>
    <t>2025-12-10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</si>
  <si>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</si>
  <si>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</si>
  <si>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</si>
  <si>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</si>
  <si>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</si>
  <si>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</si>
  <si>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</si>
  <si>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</si>
  <si>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</si>
  <si>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</si>
  <si>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</si>
  <si>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</si>
  <si>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</si>
  <si>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</si>
  <si>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</si>
  <si>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</si>
  <si>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</si>
  <si>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</si>
  <si>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</si>
  <si>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</si>
  <si>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</si>
  <si>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</si>
  <si>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</si>
  <si>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</si>
  <si>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</si>
  <si>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</si>
  <si>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</si>
  <si>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</si>
  <si>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</si>
  <si>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</si>
  <si>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</si>
  <si>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</si>
  <si>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</si>
  <si>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</si>
  <si>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</si>
  <si>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</si>
  <si>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Salzburg;BrockAd;VoicanCh;SeewaldJe;WendnerMa</t>
  </si>
  <si>
    <t>Eishalle Dornbirn;Huber rRe;WinklerDa;DivisDo;RinkerDa</t>
  </si>
  <si>
    <t>Eishalle Sissek Zibel;MetzingerFi;SnojTa;ArlicMa;MiklicGr</t>
  </si>
  <si>
    <t>Eishalle Meran;GiacomozziFe;PinieOm;CristeliMa;GrisentiLu</t>
  </si>
  <si>
    <t>Eishalle Jesenice;BrockAd;HlavatyAl;LegatKo;PreiserJu</t>
  </si>
  <si>
    <t>Eishalle Sterzing;OrelSt;UnterwegerDo;CristeliMa;WuchererGe</t>
  </si>
  <si>
    <t>Eishalle Dornbirn;HolzerTo;SpiegelSe;DivisDo;RinkerDa</t>
  </si>
  <si>
    <t>ZBRISANO</t>
  </si>
  <si>
    <t>Eishalle Sterzing;GiacomozziFe;LazzeriAl;AbeltinoSi;RivisAn</t>
  </si>
  <si>
    <t>Eishalle Cortina;PirasAn;StefenelliFe;CusinFe;GrisentiLu</t>
  </si>
  <si>
    <t>Eishalle Meran;LazzeriAl;MoschenAn;IlmerNo;RivisAn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</si>
  <si>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</si>
  <si>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</si>
  <si>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</si>
  <si>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</si>
  <si>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</si>
  <si>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Jesenice;OrelSt;SnojTa;ArlicMa;LegatKo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</si>
  <si>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</si>
  <si>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</si>
  <si>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</si>
  <si>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</si>
  <si>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</si>
  <si>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</si>
  <si>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</si>
  <si>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</si>
  <si>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</si>
  <si>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</si>
  <si>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</si>
  <si>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</si>
  <si>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</si>
  <si>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</si>
  <si>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</si>
  <si>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</si>
  <si>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</si>
  <si>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</si>
  <si>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</si>
  <si>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</si>
  <si>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</si>
  <si>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</si>
  <si>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</si>
  <si>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</si>
  <si>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Gröden;MoschenAn;PirasAn;CalloviniAn;StrimitzerDa</t>
  </si>
  <si>
    <t>Eishalle Ritten;BenvegnuAn;PinieOm;CristeliMa;FecchioFe</t>
  </si>
  <si>
    <t>Sportpark Kitzbühel;HlavatyAl;HolzerTo;DivisDo;PreiserJu</t>
  </si>
  <si>
    <t>KELIT Arena Zell am See;BajtMi;SnojTa;MarkizetiGr;ZacherlPa</t>
  </si>
  <si>
    <t>Eishalle Jesenice;LebenJa;MetzingerFi;JeramFi;MiklicGr</t>
  </si>
  <si>
    <t>Eishalle Sissek Zibel;BulovecMi;SnojTa;LegatKo;WendnerMa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</si>
  <si>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</si>
  <si>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</si>
  <si>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</si>
  <si>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</si>
  <si>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</si>
  <si>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</si>
  <si>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</si>
  <si>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</si>
  <si>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</si>
  <si>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</si>
  <si>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</si>
  <si>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</si>
  <si>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</si>
  <si>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</si>
  <si>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</si>
  <si>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</si>
  <si>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</si>
  <si>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</si>
  <si>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</si>
  <si>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</si>
  <si>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Eishalle Meran;UnterwegerDo;VirtaTu;FleischmannLu;WendnerMa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</si>
  <si>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</si>
  <si>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</si>
  <si>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</si>
  <si>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</si>
  <si>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</si>
  <si>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</si>
  <si>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</si>
  <si>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</si>
  <si>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</si>
  <si>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</si>
  <si>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</si>
  <si>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</si>
  <si>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</si>
  <si>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</si>
  <si>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</si>
  <si>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</si>
  <si>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</si>
  <si>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</si>
  <si>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</si>
  <si>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</si>
  <si>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</si>
  <si>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</si>
  <si>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</si>
  <si>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</si>
  <si>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Cortina;LebenJa;VirtaTu;BrondiMa;MiklicGr</t>
  </si>
  <si>
    <t>Würtharena Neumarkt;GiacomozziFe;PinieOm;BrondiPa;GrisentiLu</t>
  </si>
  <si>
    <t>Eishalle Dornbirn;HolzerTo;RuetzMa;DivisDo;SeewaldJe</t>
  </si>
  <si>
    <t>Würtharena Neumarkt;BenvegnuAn;RivisFe;CalloviniAn;GrisentiLu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</si>
  <si>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</si>
  <si>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</si>
  <si>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</si>
  <si>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</si>
  <si>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</si>
  <si>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</si>
  <si>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</si>
  <si>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</si>
  <si>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</si>
  <si>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</si>
  <si>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</si>
  <si>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</si>
  <si>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</si>
  <si>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</si>
  <si>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</si>
  <si>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</si>
  <si>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Gröden;BrockAd;RuetzMa;MoidlMa;StrimitzerDa</t>
  </si>
  <si>
    <t>Eishalle Asiago;BenvegnuAn;WinklerDa;AbeltinoSi;RinkerDa</t>
  </si>
  <si>
    <t>Eishalle Meran;PirasAn;VirtaTu;CusinFe;IlmerNo</t>
  </si>
  <si>
    <t>Eishalle Cortina;PinieOm;StefenelliFe;BrondiPa;CristeliMa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</si>
  <si>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</si>
  <si>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</si>
  <si>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</si>
  <si>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</si>
  <si>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</si>
  <si>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</si>
  <si>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</si>
  <si>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</si>
  <si>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</si>
  <si>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Gröden;MoschenAn;WidmannFl;FleischmannLu;WuchererGe</t>
  </si>
  <si>
    <t>Eishalle Gröden;GiacomozziFe;Huber rRe;RinkerDa;RivisAn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</si>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</sst>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color rgb="FF222222"/>
      <family val="2"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</cellXfs>
  <cellStyles count="1"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73"/>
  <sheetViews>
    <sheetView workbookViewId="0" zoomScale="100" zoomScaleNormal="100">
      <selection activeCell="O30" sqref="O30"/>
    </sheetView>
  </sheetViews>
  <sheetFormatPr defaultRowHeight="14.45" outlineLevelRow="0" outlineLevelCol="0" x14ac:dyDescent="0.25" customHeight="1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57" x14ac:dyDescent="0.25">
      <c r="A1">
        <f>COUNTIF(A4:A37,"&lt;&gt;")</f>
        <v>15</v>
      </c>
      <c r="B1">
        <f>COUNTIF(B4:B34,"&lt;&gt;")</f>
        <v>13</v>
      </c>
      <c r="C1">
        <f>COUNTIF(C4:C36,"&lt;&gt;")</f>
        <v>14</v>
      </c>
      <c r="D1">
        <f>COUNTIF(D4:D36,"&lt;&gt;")</f>
        <v>11</v>
      </c>
      <c r="E1">
        <f>COUNTIF(E4:E36,"&lt;&gt;")</f>
        <v>12</v>
      </c>
      <c r="F1">
        <f>COUNTIF(F4:F34,"&lt;&gt;")</f>
        <v>7</v>
      </c>
      <c r="G1">
        <f>COUNTIF(G4:G35,"&lt;&gt;")</f>
        <v>10</v>
      </c>
      <c r="H1">
        <f>COUNTIF(H4:H36,"&lt;&gt;")</f>
        <v>12</v>
      </c>
      <c r="I1">
        <f>COUNTIF(I4:I36,"&lt;&gt;")</f>
        <v>9</v>
      </c>
      <c r="J1">
        <f t="shared" ref="J1:AW1" si="0">COUNTIF(J4:J37,"&lt;&gt;")</f>
        <v>12</v>
      </c>
      <c r="K1">
        <f t="shared" si="0"/>
        <v>3</v>
      </c>
      <c r="L1">
        <f t="shared" si="0"/>
        <v>3</v>
      </c>
      <c r="M1">
        <f>COUNTIF(M4:M36,"&lt;&gt;")</f>
        <v>15</v>
      </c>
      <c r="N1">
        <f>COUNTIF(N4:N35,"&lt;&gt;")</f>
        <v>13</v>
      </c>
      <c r="O1">
        <f>COUNTIF(O4:O36,"&lt;&gt;")</f>
        <v>14</v>
      </c>
      <c r="P1">
        <f>COUNTIF(P4:P34,"&lt;&gt;")</f>
        <v>15</v>
      </c>
      <c r="Q1">
        <f>COUNTIF(Q4:Q36,"&lt;&gt;")</f>
        <v>13</v>
      </c>
      <c r="R1">
        <f>COUNTIF(R4:R34,"&lt;&gt;")</f>
        <v>14</v>
      </c>
      <c r="S1">
        <f>COUNTIF(S4:S34,"&lt;&gt;")</f>
        <v>11</v>
      </c>
      <c r="T1">
        <f t="shared" si="0"/>
        <v>14</v>
      </c>
      <c r="U1">
        <f>COUNTIF(U4:U35,"&lt;&gt;")</f>
        <v>12</v>
      </c>
      <c r="V1">
        <f t="shared" si="0"/>
        <v>14</v>
      </c>
      <c r="W1">
        <f t="shared" si="0"/>
        <v>14</v>
      </c>
      <c r="X1">
        <f>COUNTIF(X4:X36,"&lt;&gt;")</f>
        <v>14</v>
      </c>
      <c r="Y1">
        <f t="shared" si="0"/>
        <v>16</v>
      </c>
      <c r="Z1">
        <f>COUNTIF(Z4:Z34,"&lt;&gt;")</f>
        <v>16</v>
      </c>
      <c r="AA1">
        <f>COUNTIF(AA4:AA33,"&lt;&gt;")</f>
        <v>14</v>
      </c>
      <c r="AB1">
        <f>COUNTIF(AB4:AB35,"&lt;&gt;")</f>
        <v>15</v>
      </c>
      <c r="AC1">
        <f>COUNTIF(AC4:AC36,"&lt;&gt;")</f>
        <v>12</v>
      </c>
      <c r="AD1">
        <f>COUNTIF(AD4:AD36,"&lt;&gt;")</f>
        <v>8</v>
      </c>
      <c r="AE1">
        <f t="shared" ref="AE1" si="1">COUNTIF(AE4:AE37,"&lt;&gt;")</f>
        <v>3</v>
      </c>
      <c r="AF1">
        <f t="shared" ref="AF1" si="2">COUNTIF(AF4:AF37,"&lt;&gt;")</f>
        <v>2</v>
      </c>
      <c r="AG1">
        <f>COUNTIF(AG4:AG36,"&lt;&gt;")</f>
        <v>13</v>
      </c>
      <c r="AH1">
        <f t="shared" si="0"/>
        <v>8</v>
      </c>
      <c r="AI1">
        <f>COUNTIF(AI4:AI35,"&lt;&gt;")</f>
        <v>17</v>
      </c>
      <c r="AJ1">
        <f>COUNTIF(AJ4:AJ35,"&lt;&gt;")</f>
        <v>16</v>
      </c>
      <c r="AK1">
        <f>COUNTIF(AK4:AK34,"&lt;&gt;")</f>
        <v>11</v>
      </c>
      <c r="AL1">
        <f t="shared" si="0"/>
        <v>19</v>
      </c>
      <c r="AM1">
        <f>COUNTIF(AM4:AM36,"&lt;&gt;")</f>
        <v>18</v>
      </c>
      <c r="AN1">
        <f>COUNTIF(AN4:AN36,"&lt;&gt;")</f>
        <v>15</v>
      </c>
      <c r="AO1">
        <f>COUNTIF(AO4:AO36,"&lt;&gt;")</f>
        <v>13</v>
      </c>
      <c r="AP1">
        <f>COUNTIF(AP4:AP36,"&lt;&gt;")</f>
        <v>16</v>
      </c>
      <c r="AQ1">
        <f>COUNTIF(AQ4:AQ36,"&lt;&gt;")</f>
        <v>18</v>
      </c>
      <c r="AR1">
        <f t="shared" si="0"/>
        <v>15</v>
      </c>
      <c r="AS1">
        <f t="shared" si="0"/>
        <v>13</v>
      </c>
      <c r="AT1">
        <f>COUNTIF(AT4:AT35,"&lt;&gt;")</f>
        <v>14</v>
      </c>
      <c r="AU1">
        <f>COUNTIF(AU4:AU35,"&lt;&gt;")</f>
        <v>17</v>
      </c>
      <c r="AV1">
        <f>COUNTIF(AV4:AV32,"&lt;&gt;")</f>
        <v>9</v>
      </c>
      <c r="AW1">
        <f t="shared" si="0"/>
        <v>8</v>
      </c>
      <c r="AX1">
        <f>COUNTIF(AX4:AX34,"&lt;&gt;")</f>
        <v>9</v>
      </c>
      <c r="AY1">
        <f>COUNTIF(AY4:AY36,"&lt;&gt;")</f>
        <v>8</v>
      </c>
      <c r="AZ1">
        <f>COUNTIF(AZ4:AZ32,"&lt;&gt;")</f>
        <v>12</v>
      </c>
      <c r="BA1">
        <f>COUNTIF(BA4:BA33,"&lt;&gt;")</f>
        <v>5</v>
      </c>
      <c r="BB1">
        <f>COUNTIF(BB4:BB35,"&lt;&gt;")</f>
        <v>4</v>
      </c>
      <c r="BC1">
        <f>COUNTIF(BC4:BC35,"&lt;&gt;")</f>
        <v>3</v>
      </c>
      <c r="BD1">
        <f>COUNTIF(BD4:BD35,"&lt;&gt;")</f>
        <v>3</v>
      </c>
      <c r="BE1">
        <f t="shared" ref="BE1" si="3">COUNTIF(BE4:BE37,"&lt;&gt;")</f>
        <v>2</v>
      </c>
    </row>
    <row r="2" ht="14.45" customHeight="1" spans="1:57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</row>
    <row r="3" ht="15" customHeight="1" spans="1:58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</row>
    <row r="4" ht="15" customHeight="1" spans="1:57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62</v>
      </c>
      <c r="H4" t="s">
        <v>62</v>
      </c>
      <c r="I4" t="s">
        <v>62</v>
      </c>
      <c r="J4" t="s">
        <v>61</v>
      </c>
      <c r="K4" t="s">
        <v>63</v>
      </c>
      <c r="L4" t="s">
        <v>64</v>
      </c>
      <c r="M4" t="s">
        <v>65</v>
      </c>
      <c r="N4" t="s">
        <v>65</v>
      </c>
      <c r="O4" t="s">
        <v>65</v>
      </c>
      <c r="P4" t="s">
        <v>65</v>
      </c>
      <c r="Q4" t="s">
        <v>65</v>
      </c>
      <c r="R4" t="s">
        <v>65</v>
      </c>
      <c r="S4" t="s">
        <v>65</v>
      </c>
      <c r="T4" t="s">
        <v>65</v>
      </c>
      <c r="U4" t="s">
        <v>66</v>
      </c>
      <c r="V4" t="s">
        <v>66</v>
      </c>
      <c r="W4" t="s">
        <v>66</v>
      </c>
      <c r="X4" t="s">
        <v>65</v>
      </c>
      <c r="Y4" t="s">
        <v>65</v>
      </c>
      <c r="Z4" t="s">
        <v>65</v>
      </c>
      <c r="AA4" t="s">
        <v>62</v>
      </c>
      <c r="AB4" t="s">
        <v>66</v>
      </c>
      <c r="AC4" t="s">
        <v>67</v>
      </c>
      <c r="AD4" t="s">
        <v>67</v>
      </c>
      <c r="AE4" t="s">
        <v>68</v>
      </c>
      <c r="AF4" t="s">
        <v>69</v>
      </c>
      <c r="AG4" t="s">
        <v>65</v>
      </c>
      <c r="AH4" t="s">
        <v>65</v>
      </c>
      <c r="AI4" t="s">
        <v>65</v>
      </c>
      <c r="AJ4" t="s">
        <v>65</v>
      </c>
      <c r="AK4" t="s">
        <v>65</v>
      </c>
      <c r="AL4" t="s">
        <v>65</v>
      </c>
      <c r="AM4" t="s">
        <v>65</v>
      </c>
      <c r="AN4" t="s">
        <v>65</v>
      </c>
      <c r="AO4" t="s">
        <v>65</v>
      </c>
      <c r="AP4" t="s">
        <v>60</v>
      </c>
      <c r="AQ4" t="s">
        <v>60</v>
      </c>
      <c r="AR4" t="s">
        <v>61</v>
      </c>
      <c r="AS4" t="s">
        <v>61</v>
      </c>
      <c r="AT4" t="s">
        <v>61</v>
      </c>
      <c r="AU4" t="s">
        <v>70</v>
      </c>
      <c r="AV4" t="s">
        <v>70</v>
      </c>
      <c r="AW4" t="s">
        <v>70</v>
      </c>
      <c r="AX4" t="s">
        <v>71</v>
      </c>
      <c r="AY4" t="s">
        <v>71</v>
      </c>
      <c r="AZ4" t="s">
        <v>67</v>
      </c>
      <c r="BA4" t="s">
        <v>71</v>
      </c>
      <c r="BB4" t="s">
        <v>63</v>
      </c>
      <c r="BC4" t="s">
        <v>72</v>
      </c>
      <c r="BD4" t="s">
        <v>73</v>
      </c>
      <c r="BE4" t="s">
        <v>74</v>
      </c>
    </row>
    <row r="5" ht="15" customHeight="1" spans="1:57" x14ac:dyDescent="0.25">
      <c r="A5" t="s">
        <v>62</v>
      </c>
      <c r="B5" t="s">
        <v>70</v>
      </c>
      <c r="C5" t="s">
        <v>70</v>
      </c>
      <c r="D5" t="s">
        <v>70</v>
      </c>
      <c r="E5" t="s">
        <v>61</v>
      </c>
      <c r="F5" t="s">
        <v>70</v>
      </c>
      <c r="G5" t="s">
        <v>71</v>
      </c>
      <c r="H5" t="s">
        <v>71</v>
      </c>
      <c r="I5" t="s">
        <v>71</v>
      </c>
      <c r="J5" t="s">
        <v>70</v>
      </c>
      <c r="K5" t="s">
        <v>75</v>
      </c>
      <c r="L5" t="s">
        <v>75</v>
      </c>
      <c r="M5" t="s">
        <v>61</v>
      </c>
      <c r="N5" t="s">
        <v>70</v>
      </c>
      <c r="O5" t="s">
        <v>61</v>
      </c>
      <c r="P5" t="s">
        <v>70</v>
      </c>
      <c r="Q5" t="s">
        <v>61</v>
      </c>
      <c r="R5" t="s">
        <v>61</v>
      </c>
      <c r="S5" t="s">
        <v>62</v>
      </c>
      <c r="T5" t="s">
        <v>70</v>
      </c>
      <c r="U5" t="s">
        <v>62</v>
      </c>
      <c r="V5" t="s">
        <v>61</v>
      </c>
      <c r="W5" t="s">
        <v>70</v>
      </c>
      <c r="X5" t="s">
        <v>61</v>
      </c>
      <c r="Y5" t="s">
        <v>70</v>
      </c>
      <c r="Z5" t="s">
        <v>70</v>
      </c>
      <c r="AA5" t="s">
        <v>71</v>
      </c>
      <c r="AB5" t="s">
        <v>61</v>
      </c>
      <c r="AC5" t="s">
        <v>64</v>
      </c>
      <c r="AD5" t="s">
        <v>76</v>
      </c>
      <c r="AE5" t="s">
        <v>75</v>
      </c>
      <c r="AF5" t="s">
        <v>77</v>
      </c>
      <c r="AG5" t="s">
        <v>61</v>
      </c>
      <c r="AH5" t="s">
        <v>61</v>
      </c>
      <c r="AI5" t="s">
        <v>61</v>
      </c>
      <c r="AJ5" t="s">
        <v>78</v>
      </c>
      <c r="AK5" t="s">
        <v>79</v>
      </c>
      <c r="AL5" t="s">
        <v>70</v>
      </c>
      <c r="AM5" t="s">
        <v>61</v>
      </c>
      <c r="AN5" t="s">
        <v>61</v>
      </c>
      <c r="AO5" t="s">
        <v>61</v>
      </c>
      <c r="AP5" t="s">
        <v>71</v>
      </c>
      <c r="AQ5" t="s">
        <v>70</v>
      </c>
      <c r="AR5" t="s">
        <v>70</v>
      </c>
      <c r="AS5" t="s">
        <v>70</v>
      </c>
      <c r="AT5" t="s">
        <v>70</v>
      </c>
      <c r="AU5" t="s">
        <v>71</v>
      </c>
      <c r="AV5" t="s">
        <v>78</v>
      </c>
      <c r="AW5" t="s">
        <v>63</v>
      </c>
      <c r="AX5" t="s">
        <v>79</v>
      </c>
      <c r="AY5" t="s">
        <v>79</v>
      </c>
      <c r="AZ5" t="s">
        <v>68</v>
      </c>
      <c r="BA5" t="s">
        <v>68</v>
      </c>
      <c r="BB5" t="s">
        <v>80</v>
      </c>
      <c r="BC5" t="s">
        <v>81</v>
      </c>
      <c r="BD5" t="s">
        <v>82</v>
      </c>
      <c r="BE5" t="s">
        <v>83</v>
      </c>
    </row>
    <row r="6" ht="15" customHeight="1" spans="1:57" x14ac:dyDescent="0.25">
      <c r="A6" t="s">
        <v>71</v>
      </c>
      <c r="B6" t="s">
        <v>62</v>
      </c>
      <c r="C6" t="s">
        <v>62</v>
      </c>
      <c r="D6" t="s">
        <v>62</v>
      </c>
      <c r="E6" t="s">
        <v>70</v>
      </c>
      <c r="F6" t="s">
        <v>71</v>
      </c>
      <c r="G6" t="s">
        <v>67</v>
      </c>
      <c r="H6" t="s">
        <v>68</v>
      </c>
      <c r="I6" t="s">
        <v>68</v>
      </c>
      <c r="J6" t="s">
        <v>79</v>
      </c>
      <c r="K6" t="s">
        <v>84</v>
      </c>
      <c r="L6" t="s">
        <v>82</v>
      </c>
      <c r="M6" t="s">
        <v>71</v>
      </c>
      <c r="N6" t="s">
        <v>62</v>
      </c>
      <c r="O6" t="s">
        <v>62</v>
      </c>
      <c r="P6" t="s">
        <v>62</v>
      </c>
      <c r="Q6" t="s">
        <v>62</v>
      </c>
      <c r="R6" t="s">
        <v>71</v>
      </c>
      <c r="S6" t="s">
        <v>79</v>
      </c>
      <c r="T6" t="s">
        <v>62</v>
      </c>
      <c r="U6" t="s">
        <v>61</v>
      </c>
      <c r="V6" t="s">
        <v>71</v>
      </c>
      <c r="W6" t="s">
        <v>71</v>
      </c>
      <c r="X6" t="s">
        <v>71</v>
      </c>
      <c r="Y6" t="s">
        <v>71</v>
      </c>
      <c r="Z6" t="s">
        <v>71</v>
      </c>
      <c r="AA6" t="s">
        <v>85</v>
      </c>
      <c r="AB6" t="s">
        <v>62</v>
      </c>
      <c r="AC6" t="s">
        <v>68</v>
      </c>
      <c r="AD6" t="s">
        <v>86</v>
      </c>
      <c r="AE6" t="s">
        <v>84</v>
      </c>
      <c r="AG6" t="s">
        <v>62</v>
      </c>
      <c r="AH6" t="s">
        <v>85</v>
      </c>
      <c r="AI6" t="s">
        <v>78</v>
      </c>
      <c r="AJ6" t="s">
        <v>79</v>
      </c>
      <c r="AK6" t="s">
        <v>68</v>
      </c>
      <c r="AL6" t="s">
        <v>62</v>
      </c>
      <c r="AM6" t="s">
        <v>67</v>
      </c>
      <c r="AN6" t="s">
        <v>87</v>
      </c>
      <c r="AO6" t="s">
        <v>88</v>
      </c>
      <c r="AP6" t="s">
        <v>67</v>
      </c>
      <c r="AQ6" t="s">
        <v>71</v>
      </c>
      <c r="AR6" t="s">
        <v>78</v>
      </c>
      <c r="AS6" t="s">
        <v>87</v>
      </c>
      <c r="AT6" t="s">
        <v>71</v>
      </c>
      <c r="AU6" t="s">
        <v>67</v>
      </c>
      <c r="AV6" t="s">
        <v>79</v>
      </c>
      <c r="AW6" t="s">
        <v>85</v>
      </c>
      <c r="AX6" t="s">
        <v>68</v>
      </c>
      <c r="AY6" t="s">
        <v>88</v>
      </c>
      <c r="AZ6" t="s">
        <v>89</v>
      </c>
      <c r="BA6" t="s">
        <v>90</v>
      </c>
      <c r="BB6" t="s">
        <v>91</v>
      </c>
      <c r="BC6" t="s">
        <v>92</v>
      </c>
      <c r="BD6" t="s">
        <v>90</v>
      </c>
    </row>
    <row r="7" ht="15" customHeight="1" spans="1:56" x14ac:dyDescent="0.25">
      <c r="A7" t="s">
        <v>67</v>
      </c>
      <c r="B7" t="s">
        <v>87</v>
      </c>
      <c r="C7" t="s">
        <v>67</v>
      </c>
      <c r="D7" t="s">
        <v>67</v>
      </c>
      <c r="E7" t="s">
        <v>62</v>
      </c>
      <c r="F7" t="s">
        <v>87</v>
      </c>
      <c r="G7" t="s">
        <v>73</v>
      </c>
      <c r="H7" t="s">
        <v>73</v>
      </c>
      <c r="I7" t="s">
        <v>89</v>
      </c>
      <c r="J7" t="s">
        <v>63</v>
      </c>
      <c r="M7" t="s">
        <v>87</v>
      </c>
      <c r="N7" t="s">
        <v>67</v>
      </c>
      <c r="O7" t="s">
        <v>67</v>
      </c>
      <c r="P7" t="s">
        <v>71</v>
      </c>
      <c r="Q7" t="s">
        <v>76</v>
      </c>
      <c r="R7" t="s">
        <v>87</v>
      </c>
      <c r="S7" t="s">
        <v>73</v>
      </c>
      <c r="T7" t="s">
        <v>71</v>
      </c>
      <c r="U7" t="s">
        <v>67</v>
      </c>
      <c r="V7" t="s">
        <v>67</v>
      </c>
      <c r="W7" t="s">
        <v>79</v>
      </c>
      <c r="X7" t="s">
        <v>67</v>
      </c>
      <c r="Y7" t="s">
        <v>67</v>
      </c>
      <c r="Z7" t="s">
        <v>76</v>
      </c>
      <c r="AA7" t="s">
        <v>67</v>
      </c>
      <c r="AB7" t="s">
        <v>71</v>
      </c>
      <c r="AC7" t="s">
        <v>72</v>
      </c>
      <c r="AD7" t="s">
        <v>93</v>
      </c>
      <c r="AG7" t="s">
        <v>63</v>
      </c>
      <c r="AH7" t="s">
        <v>94</v>
      </c>
      <c r="AI7" t="s">
        <v>62</v>
      </c>
      <c r="AJ7" t="s">
        <v>63</v>
      </c>
      <c r="AK7" t="s">
        <v>72</v>
      </c>
      <c r="AL7" t="s">
        <v>67</v>
      </c>
      <c r="AM7" t="s">
        <v>79</v>
      </c>
      <c r="AN7" t="s">
        <v>63</v>
      </c>
      <c r="AO7" t="s">
        <v>72</v>
      </c>
      <c r="AP7" t="s">
        <v>64</v>
      </c>
      <c r="AQ7" t="s">
        <v>67</v>
      </c>
      <c r="AR7" t="s">
        <v>67</v>
      </c>
      <c r="AS7" t="s">
        <v>68</v>
      </c>
      <c r="AT7" t="s">
        <v>79</v>
      </c>
      <c r="AU7" t="s">
        <v>64</v>
      </c>
      <c r="AV7" t="s">
        <v>72</v>
      </c>
      <c r="AW7" t="s">
        <v>73</v>
      </c>
      <c r="AX7" t="s">
        <v>89</v>
      </c>
      <c r="AY7" t="s">
        <v>85</v>
      </c>
      <c r="AZ7" t="s">
        <v>79</v>
      </c>
      <c r="BA7" t="s">
        <v>95</v>
      </c>
      <c r="BB7" t="s">
        <v>92</v>
      </c>
    </row>
    <row r="8" ht="15" customHeight="1" spans="1:54" x14ac:dyDescent="0.25">
      <c r="A8" t="s">
        <v>79</v>
      </c>
      <c r="B8" t="s">
        <v>72</v>
      </c>
      <c r="C8" t="s">
        <v>68</v>
      </c>
      <c r="D8" t="s">
        <v>68</v>
      </c>
      <c r="E8" t="s">
        <v>63</v>
      </c>
      <c r="F8" t="s">
        <v>73</v>
      </c>
      <c r="G8" t="s">
        <v>89</v>
      </c>
      <c r="H8" t="s">
        <v>89</v>
      </c>
      <c r="I8" t="s">
        <v>85</v>
      </c>
      <c r="J8" t="s">
        <v>86</v>
      </c>
      <c r="M8" t="s">
        <v>63</v>
      </c>
      <c r="N8" t="s">
        <v>76</v>
      </c>
      <c r="O8" t="s">
        <v>68</v>
      </c>
      <c r="P8" t="s">
        <v>61</v>
      </c>
      <c r="Q8" t="s">
        <v>63</v>
      </c>
      <c r="R8" t="s">
        <v>73</v>
      </c>
      <c r="S8" t="s">
        <v>68</v>
      </c>
      <c r="T8" t="s">
        <v>87</v>
      </c>
      <c r="U8" t="s">
        <v>73</v>
      </c>
      <c r="V8" t="s">
        <v>64</v>
      </c>
      <c r="W8" t="s">
        <v>63</v>
      </c>
      <c r="X8" t="s">
        <v>76</v>
      </c>
      <c r="Y8" t="s">
        <v>76</v>
      </c>
      <c r="Z8" t="s">
        <v>64</v>
      </c>
      <c r="AA8" t="s">
        <v>87</v>
      </c>
      <c r="AB8" t="s">
        <v>67</v>
      </c>
      <c r="AC8" t="s">
        <v>89</v>
      </c>
      <c r="AD8" t="s">
        <v>75</v>
      </c>
      <c r="AG8" t="s">
        <v>68</v>
      </c>
      <c r="AH8" t="s">
        <v>83</v>
      </c>
      <c r="AI8" t="s">
        <v>67</v>
      </c>
      <c r="AJ8" t="s">
        <v>64</v>
      </c>
      <c r="AK8" t="s">
        <v>64</v>
      </c>
      <c r="AL8" t="s">
        <v>79</v>
      </c>
      <c r="AM8" t="s">
        <v>68</v>
      </c>
      <c r="AN8" t="s">
        <v>68</v>
      </c>
      <c r="AO8" t="s">
        <v>96</v>
      </c>
      <c r="AP8" t="s">
        <v>68</v>
      </c>
      <c r="AQ8" t="s">
        <v>63</v>
      </c>
      <c r="AR8" t="s">
        <v>79</v>
      </c>
      <c r="AS8" t="s">
        <v>72</v>
      </c>
      <c r="AT8" t="s">
        <v>64</v>
      </c>
      <c r="AU8" t="s">
        <v>68</v>
      </c>
      <c r="AV8" t="s">
        <v>97</v>
      </c>
      <c r="AW8" t="s">
        <v>64</v>
      </c>
      <c r="AX8" t="s">
        <v>85</v>
      </c>
      <c r="AY8" t="s">
        <v>75</v>
      </c>
      <c r="AZ8" t="s">
        <v>64</v>
      </c>
      <c r="BA8" t="s">
        <v>84</v>
      </c>
      <c r="BB8" t="s">
        <v>98</v>
      </c>
    </row>
    <row r="9" ht="15" customHeight="1" spans="1:54" x14ac:dyDescent="0.25">
      <c r="A9" t="s">
        <v>64</v>
      </c>
      <c r="B9" t="s">
        <v>96</v>
      </c>
      <c r="C9" t="s">
        <v>72</v>
      </c>
      <c r="D9" t="s">
        <v>86</v>
      </c>
      <c r="E9" t="s">
        <v>72</v>
      </c>
      <c r="F9" t="s">
        <v>91</v>
      </c>
      <c r="G9" t="s">
        <v>93</v>
      </c>
      <c r="H9" t="s">
        <v>67</v>
      </c>
      <c r="I9" t="s">
        <v>93</v>
      </c>
      <c r="J9" t="s">
        <v>73</v>
      </c>
      <c r="M9" t="s">
        <v>68</v>
      </c>
      <c r="N9" t="s">
        <v>85</v>
      </c>
      <c r="O9" t="s">
        <v>85</v>
      </c>
      <c r="P9" t="s">
        <v>64</v>
      </c>
      <c r="Q9" t="s">
        <v>85</v>
      </c>
      <c r="R9" t="s">
        <v>89</v>
      </c>
      <c r="S9" t="s">
        <v>85</v>
      </c>
      <c r="T9" t="s">
        <v>63</v>
      </c>
      <c r="U9" t="s">
        <v>89</v>
      </c>
      <c r="V9" t="s">
        <v>72</v>
      </c>
      <c r="W9" t="s">
        <v>68</v>
      </c>
      <c r="X9" t="s">
        <v>68</v>
      </c>
      <c r="Y9" t="s">
        <v>64</v>
      </c>
      <c r="Z9" t="s">
        <v>68</v>
      </c>
      <c r="AA9" t="s">
        <v>94</v>
      </c>
      <c r="AB9" t="s">
        <v>72</v>
      </c>
      <c r="AC9" t="s">
        <v>99</v>
      </c>
      <c r="AD9" t="s">
        <v>69</v>
      </c>
      <c r="AG9" t="s">
        <v>85</v>
      </c>
      <c r="AH9" t="s">
        <v>91</v>
      </c>
      <c r="AI9" t="s">
        <v>79</v>
      </c>
      <c r="AJ9" t="s">
        <v>72</v>
      </c>
      <c r="AK9" t="s">
        <v>81</v>
      </c>
      <c r="AL9" t="s">
        <v>68</v>
      </c>
      <c r="AM9" t="s">
        <v>73</v>
      </c>
      <c r="AN9" t="s">
        <v>72</v>
      </c>
      <c r="AO9" t="s">
        <v>85</v>
      </c>
      <c r="AP9" t="s">
        <v>72</v>
      </c>
      <c r="AQ9" t="s">
        <v>68</v>
      </c>
      <c r="AR9" t="s">
        <v>88</v>
      </c>
      <c r="AS9" t="s">
        <v>96</v>
      </c>
      <c r="AT9" t="s">
        <v>85</v>
      </c>
      <c r="AU9" t="s">
        <v>76</v>
      </c>
      <c r="AV9" t="s">
        <v>91</v>
      </c>
      <c r="AW9" t="s">
        <v>83</v>
      </c>
      <c r="AX9" t="s">
        <v>83</v>
      </c>
      <c r="AY9" t="s">
        <v>98</v>
      </c>
      <c r="AZ9" t="s">
        <v>100</v>
      </c>
    </row>
    <row r="10" ht="15" customHeight="1" spans="1:52" x14ac:dyDescent="0.25">
      <c r="A10" t="s">
        <v>73</v>
      </c>
      <c r="B10" t="s">
        <v>64</v>
      </c>
      <c r="C10" t="s">
        <v>64</v>
      </c>
      <c r="D10" t="s">
        <v>64</v>
      </c>
      <c r="E10" t="s">
        <v>89</v>
      </c>
      <c r="F10" t="s">
        <v>92</v>
      </c>
      <c r="G10" t="s">
        <v>75</v>
      </c>
      <c r="H10" t="s">
        <v>101</v>
      </c>
      <c r="I10" t="s">
        <v>75</v>
      </c>
      <c r="J10" t="s">
        <v>101</v>
      </c>
      <c r="M10" t="s">
        <v>72</v>
      </c>
      <c r="N10" t="s">
        <v>82</v>
      </c>
      <c r="O10" t="s">
        <v>73</v>
      </c>
      <c r="P10" t="s">
        <v>72</v>
      </c>
      <c r="Q10" t="s">
        <v>73</v>
      </c>
      <c r="R10" t="s">
        <v>85</v>
      </c>
      <c r="S10" t="s">
        <v>94</v>
      </c>
      <c r="T10" t="s">
        <v>72</v>
      </c>
      <c r="U10" t="s">
        <v>85</v>
      </c>
      <c r="V10" t="s">
        <v>85</v>
      </c>
      <c r="W10" t="s">
        <v>72</v>
      </c>
      <c r="X10" t="s">
        <v>72</v>
      </c>
      <c r="Y10" t="s">
        <v>72</v>
      </c>
      <c r="Z10" t="s">
        <v>72</v>
      </c>
      <c r="AA10" t="s">
        <v>75</v>
      </c>
      <c r="AB10" t="s">
        <v>85</v>
      </c>
      <c r="AC10" t="s">
        <v>94</v>
      </c>
      <c r="AD10" t="s">
        <v>102</v>
      </c>
      <c r="AG10" t="s">
        <v>73</v>
      </c>
      <c r="AH10" t="s">
        <v>90</v>
      </c>
      <c r="AI10" t="s">
        <v>88</v>
      </c>
      <c r="AJ10" t="s">
        <v>85</v>
      </c>
      <c r="AK10" t="s">
        <v>98</v>
      </c>
      <c r="AL10" t="s">
        <v>73</v>
      </c>
      <c r="AM10" t="s">
        <v>74</v>
      </c>
      <c r="AN10" t="s">
        <v>96</v>
      </c>
      <c r="AO10" t="s">
        <v>71</v>
      </c>
      <c r="AP10" t="s">
        <v>85</v>
      </c>
      <c r="AQ10" t="s">
        <v>85</v>
      </c>
      <c r="AR10" t="s">
        <v>72</v>
      </c>
      <c r="AS10" t="s">
        <v>103</v>
      </c>
      <c r="AT10" t="s">
        <v>73</v>
      </c>
      <c r="AU10" t="s">
        <v>104</v>
      </c>
      <c r="AV10" t="s">
        <v>105</v>
      </c>
      <c r="AW10" t="s">
        <v>91</v>
      </c>
      <c r="AX10" t="s">
        <v>91</v>
      </c>
      <c r="AY10" t="s">
        <v>90</v>
      </c>
      <c r="AZ10" t="s">
        <v>75</v>
      </c>
    </row>
    <row r="11" ht="15" customHeight="1" spans="1:52" x14ac:dyDescent="0.25">
      <c r="A11" t="s">
        <v>89</v>
      </c>
      <c r="B11" t="s">
        <v>93</v>
      </c>
      <c r="C11" t="s">
        <v>101</v>
      </c>
      <c r="D11" t="s">
        <v>82</v>
      </c>
      <c r="E11" t="s">
        <v>93</v>
      </c>
      <c r="G11" t="s">
        <v>82</v>
      </c>
      <c r="H11" t="s">
        <v>99</v>
      </c>
      <c r="I11" t="s">
        <v>90</v>
      </c>
      <c r="J11" t="s">
        <v>99</v>
      </c>
      <c r="M11" t="s">
        <v>104</v>
      </c>
      <c r="N11" t="s">
        <v>94</v>
      </c>
      <c r="O11" t="s">
        <v>79</v>
      </c>
      <c r="P11" t="s">
        <v>76</v>
      </c>
      <c r="Q11" t="s">
        <v>94</v>
      </c>
      <c r="R11" t="s">
        <v>100</v>
      </c>
      <c r="S11" t="s">
        <v>83</v>
      </c>
      <c r="T11" t="s">
        <v>89</v>
      </c>
      <c r="U11" t="s">
        <v>99</v>
      </c>
      <c r="V11" t="s">
        <v>73</v>
      </c>
      <c r="W11" t="s">
        <v>89</v>
      </c>
      <c r="X11" t="s">
        <v>89</v>
      </c>
      <c r="Y11" t="s">
        <v>73</v>
      </c>
      <c r="Z11" t="s">
        <v>85</v>
      </c>
      <c r="AA11" t="s">
        <v>82</v>
      </c>
      <c r="AB11" t="s">
        <v>89</v>
      </c>
      <c r="AC11" t="s">
        <v>83</v>
      </c>
      <c r="AD11" t="s">
        <v>92</v>
      </c>
      <c r="AG11" t="s">
        <v>93</v>
      </c>
      <c r="AH11" t="s">
        <v>92</v>
      </c>
      <c r="AI11" t="s">
        <v>72</v>
      </c>
      <c r="AJ11" t="s">
        <v>67</v>
      </c>
      <c r="AK11" t="s">
        <v>91</v>
      </c>
      <c r="AL11" t="s">
        <v>74</v>
      </c>
      <c r="AM11" t="s">
        <v>64</v>
      </c>
      <c r="AN11" t="s">
        <v>85</v>
      </c>
      <c r="AO11" t="s">
        <v>94</v>
      </c>
      <c r="AP11" t="s">
        <v>89</v>
      </c>
      <c r="AQ11" t="s">
        <v>104</v>
      </c>
      <c r="AR11" t="s">
        <v>85</v>
      </c>
      <c r="AS11" t="s">
        <v>97</v>
      </c>
      <c r="AT11" t="s">
        <v>74</v>
      </c>
      <c r="AU11" t="s">
        <v>63</v>
      </c>
      <c r="AV11" t="s">
        <v>106</v>
      </c>
      <c r="AW11" t="s">
        <v>106</v>
      </c>
      <c r="AX11" t="s">
        <v>106</v>
      </c>
      <c r="AY11" t="s">
        <v>107</v>
      </c>
      <c r="AZ11" t="s">
        <v>93</v>
      </c>
    </row>
    <row r="12" ht="15" customHeight="1" spans="1:52" x14ac:dyDescent="0.25">
      <c r="A12" t="s">
        <v>101</v>
      </c>
      <c r="B12" t="s">
        <v>82</v>
      </c>
      <c r="C12" t="s">
        <v>99</v>
      </c>
      <c r="D12" t="s">
        <v>75</v>
      </c>
      <c r="E12" t="s">
        <v>83</v>
      </c>
      <c r="G12" t="s">
        <v>90</v>
      </c>
      <c r="H12" t="s">
        <v>75</v>
      </c>
      <c r="I12" t="s">
        <v>84</v>
      </c>
      <c r="J12" t="s">
        <v>75</v>
      </c>
      <c r="M12" t="s">
        <v>108</v>
      </c>
      <c r="N12" t="s">
        <v>95</v>
      </c>
      <c r="O12" t="s">
        <v>108</v>
      </c>
      <c r="P12" t="s">
        <v>104</v>
      </c>
      <c r="Q12" t="s">
        <v>83</v>
      </c>
      <c r="R12" t="s">
        <v>94</v>
      </c>
      <c r="S12" t="s">
        <v>91</v>
      </c>
      <c r="T12" t="s">
        <v>99</v>
      </c>
      <c r="U12" t="s">
        <v>94</v>
      </c>
      <c r="V12" t="s">
        <v>83</v>
      </c>
      <c r="W12" t="s">
        <v>108</v>
      </c>
      <c r="X12" t="s">
        <v>93</v>
      </c>
      <c r="Y12" t="s">
        <v>89</v>
      </c>
      <c r="Z12" t="s">
        <v>63</v>
      </c>
      <c r="AA12" t="s">
        <v>109</v>
      </c>
      <c r="AB12" t="s">
        <v>64</v>
      </c>
      <c r="AC12" t="s">
        <v>110</v>
      </c>
      <c r="AG12" t="s">
        <v>75</v>
      </c>
      <c r="AI12" t="s">
        <v>86</v>
      </c>
      <c r="AJ12" t="s">
        <v>83</v>
      </c>
      <c r="AK12" t="s">
        <v>69</v>
      </c>
      <c r="AL12" t="s">
        <v>63</v>
      </c>
      <c r="AM12" t="s">
        <v>72</v>
      </c>
      <c r="AN12" t="s">
        <v>103</v>
      </c>
      <c r="AO12" t="s">
        <v>83</v>
      </c>
      <c r="AP12" t="s">
        <v>80</v>
      </c>
      <c r="AQ12" t="s">
        <v>64</v>
      </c>
      <c r="AR12" t="s">
        <v>94</v>
      </c>
      <c r="AS12" t="s">
        <v>83</v>
      </c>
      <c r="AT12" t="s">
        <v>83</v>
      </c>
      <c r="AU12" t="s">
        <v>100</v>
      </c>
      <c r="AV12" t="s">
        <v>92</v>
      </c>
      <c r="AX12" t="s">
        <v>92</v>
      </c>
      <c r="AZ12" t="s">
        <v>91</v>
      </c>
    </row>
    <row r="13" ht="15" customHeight="1" spans="1:52" x14ac:dyDescent="0.25">
      <c r="A13" t="s">
        <v>99</v>
      </c>
      <c r="B13" t="s">
        <v>94</v>
      </c>
      <c r="C13" t="s">
        <v>75</v>
      </c>
      <c r="D13" t="s">
        <v>106</v>
      </c>
      <c r="E13" t="s">
        <v>82</v>
      </c>
      <c r="G13" t="s">
        <v>92</v>
      </c>
      <c r="H13" t="s">
        <v>82</v>
      </c>
      <c r="J13" t="s">
        <v>91</v>
      </c>
      <c r="M13" t="s">
        <v>94</v>
      </c>
      <c r="N13" t="s">
        <v>100</v>
      </c>
      <c r="O13" t="s">
        <v>75</v>
      </c>
      <c r="P13" t="s">
        <v>73</v>
      </c>
      <c r="Q13" t="s">
        <v>110</v>
      </c>
      <c r="R13" t="s">
        <v>75</v>
      </c>
      <c r="S13" t="s">
        <v>111</v>
      </c>
      <c r="T13" t="s">
        <v>94</v>
      </c>
      <c r="U13" t="s">
        <v>83</v>
      </c>
      <c r="V13" t="s">
        <v>91</v>
      </c>
      <c r="W13" t="s">
        <v>94</v>
      </c>
      <c r="X13" t="s">
        <v>82</v>
      </c>
      <c r="Y13" t="s">
        <v>99</v>
      </c>
      <c r="Z13" t="s">
        <v>108</v>
      </c>
      <c r="AA13" t="s">
        <v>90</v>
      </c>
      <c r="AB13" t="s">
        <v>94</v>
      </c>
      <c r="AC13" t="s">
        <v>90</v>
      </c>
      <c r="AG13" t="s">
        <v>82</v>
      </c>
      <c r="AI13" t="s">
        <v>73</v>
      </c>
      <c r="AJ13" t="s">
        <v>112</v>
      </c>
      <c r="AK13" t="s">
        <v>84</v>
      </c>
      <c r="AL13" t="s">
        <v>97</v>
      </c>
      <c r="AM13" t="s">
        <v>94</v>
      </c>
      <c r="AN13" t="s">
        <v>83</v>
      </c>
      <c r="AO13" t="s">
        <v>91</v>
      </c>
      <c r="AP13" t="s">
        <v>83</v>
      </c>
      <c r="AQ13" t="s">
        <v>100</v>
      </c>
      <c r="AR13" t="s">
        <v>75</v>
      </c>
      <c r="AS13" t="s">
        <v>94</v>
      </c>
      <c r="AT13" t="s">
        <v>95</v>
      </c>
      <c r="AU13" t="s">
        <v>80</v>
      </c>
      <c r="AZ13" t="s">
        <v>95</v>
      </c>
    </row>
    <row r="14" ht="15" customHeight="1" spans="1:52" x14ac:dyDescent="0.25">
      <c r="A14" t="s">
        <v>83</v>
      </c>
      <c r="B14" t="s">
        <v>95</v>
      </c>
      <c r="C14" t="s">
        <v>91</v>
      </c>
      <c r="D14" t="s">
        <v>92</v>
      </c>
      <c r="E14" t="s">
        <v>106</v>
      </c>
      <c r="H14" t="s">
        <v>95</v>
      </c>
      <c r="J14" t="s">
        <v>84</v>
      </c>
      <c r="M14" t="s">
        <v>95</v>
      </c>
      <c r="N14" t="s">
        <v>111</v>
      </c>
      <c r="O14" t="s">
        <v>82</v>
      </c>
      <c r="P14" t="s">
        <v>94</v>
      </c>
      <c r="Q14" t="s">
        <v>90</v>
      </c>
      <c r="R14" t="s">
        <v>82</v>
      </c>
      <c r="S14" t="s">
        <v>95</v>
      </c>
      <c r="T14" t="s">
        <v>82</v>
      </c>
      <c r="U14" t="s">
        <v>106</v>
      </c>
      <c r="V14" t="s">
        <v>90</v>
      </c>
      <c r="W14" t="s">
        <v>82</v>
      </c>
      <c r="X14" t="s">
        <v>103</v>
      </c>
      <c r="Y14" t="s">
        <v>93</v>
      </c>
      <c r="Z14" t="s">
        <v>83</v>
      </c>
      <c r="AA14" t="s">
        <v>100</v>
      </c>
      <c r="AB14" t="s">
        <v>83</v>
      </c>
      <c r="AC14" t="s">
        <v>84</v>
      </c>
      <c r="AG14" t="s">
        <v>69</v>
      </c>
      <c r="AI14" t="s">
        <v>103</v>
      </c>
      <c r="AJ14" t="s">
        <v>94</v>
      </c>
      <c r="AK14" t="s">
        <v>77</v>
      </c>
      <c r="AL14" t="s">
        <v>94</v>
      </c>
      <c r="AM14" t="s">
        <v>83</v>
      </c>
      <c r="AN14" t="s">
        <v>91</v>
      </c>
      <c r="AO14" t="s">
        <v>90</v>
      </c>
      <c r="AP14" t="s">
        <v>102</v>
      </c>
      <c r="AQ14" t="s">
        <v>81</v>
      </c>
      <c r="AR14" t="s">
        <v>112</v>
      </c>
      <c r="AS14" t="s">
        <v>91</v>
      </c>
      <c r="AT14" t="s">
        <v>94</v>
      </c>
      <c r="AU14" t="s">
        <v>83</v>
      </c>
      <c r="AZ14" t="s">
        <v>107</v>
      </c>
    </row>
    <row r="15" ht="15" customHeight="1" spans="1:52" x14ac:dyDescent="0.25">
      <c r="A15" t="s">
        <v>91</v>
      </c>
      <c r="B15" t="s">
        <v>84</v>
      </c>
      <c r="C15" t="s">
        <v>85</v>
      </c>
      <c r="E15" t="s">
        <v>92</v>
      </c>
      <c r="H15" t="s">
        <v>84</v>
      </c>
      <c r="J15" t="s">
        <v>77</v>
      </c>
      <c r="M15" t="s">
        <v>82</v>
      </c>
      <c r="N15" t="s">
        <v>92</v>
      </c>
      <c r="O15" t="s">
        <v>90</v>
      </c>
      <c r="P15" t="s">
        <v>75</v>
      </c>
      <c r="Q15" t="s">
        <v>84</v>
      </c>
      <c r="R15" t="s">
        <v>69</v>
      </c>
      <c r="S15" t="s">
        <v>92</v>
      </c>
      <c r="T15" t="s">
        <v>90</v>
      </c>
      <c r="U15" t="s">
        <v>95</v>
      </c>
      <c r="V15" t="s">
        <v>100</v>
      </c>
      <c r="W15" t="s">
        <v>90</v>
      </c>
      <c r="X15" t="s">
        <v>100</v>
      </c>
      <c r="Y15" t="s">
        <v>75</v>
      </c>
      <c r="Z15" t="s">
        <v>94</v>
      </c>
      <c r="AA15" t="s">
        <v>110</v>
      </c>
      <c r="AB15" t="s">
        <v>90</v>
      </c>
      <c r="AC15" t="s">
        <v>77</v>
      </c>
      <c r="AG15" t="s">
        <v>111</v>
      </c>
      <c r="AI15" t="s">
        <v>112</v>
      </c>
      <c r="AJ15" t="s">
        <v>82</v>
      </c>
      <c r="AL15" t="s">
        <v>75</v>
      </c>
      <c r="AM15" t="s">
        <v>102</v>
      </c>
      <c r="AN15" t="s">
        <v>90</v>
      </c>
      <c r="AO15" t="s">
        <v>106</v>
      </c>
      <c r="AP15" t="s">
        <v>94</v>
      </c>
      <c r="AQ15" t="s">
        <v>83</v>
      </c>
      <c r="AR15" t="s">
        <v>105</v>
      </c>
      <c r="AS15" t="s">
        <v>106</v>
      </c>
      <c r="AT15" t="s">
        <v>105</v>
      </c>
      <c r="AU15" t="s">
        <v>102</v>
      </c>
      <c r="AZ15" t="s">
        <v>77</v>
      </c>
    </row>
    <row r="16" ht="15" customHeight="1" spans="1:52" x14ac:dyDescent="0.25">
      <c r="A16" t="s">
        <v>81</v>
      </c>
      <c r="B16" t="s">
        <v>77</v>
      </c>
      <c r="C16" t="s">
        <v>84</v>
      </c>
      <c r="H16" t="s">
        <v>113</v>
      </c>
      <c r="M16" t="s">
        <v>69</v>
      </c>
      <c r="N16" t="s">
        <v>77</v>
      </c>
      <c r="O16" t="s">
        <v>84</v>
      </c>
      <c r="P16" t="s">
        <v>82</v>
      </c>
      <c r="Q16" t="s">
        <v>77</v>
      </c>
      <c r="R16" t="s">
        <v>106</v>
      </c>
      <c r="T16" t="s">
        <v>84</v>
      </c>
      <c r="U16" t="s">
        <v>84</v>
      </c>
      <c r="V16" t="s">
        <v>84</v>
      </c>
      <c r="W16" t="s">
        <v>84</v>
      </c>
      <c r="X16" t="s">
        <v>106</v>
      </c>
      <c r="Y16" t="s">
        <v>82</v>
      </c>
      <c r="Z16" t="s">
        <v>110</v>
      </c>
      <c r="AA16" t="s">
        <v>92</v>
      </c>
      <c r="AB16" t="s">
        <v>106</v>
      </c>
      <c r="AG16" t="s">
        <v>92</v>
      </c>
      <c r="AI16" t="s">
        <v>93</v>
      </c>
      <c r="AJ16" t="s">
        <v>105</v>
      </c>
      <c r="AL16" t="s">
        <v>112</v>
      </c>
      <c r="AM16" t="s">
        <v>91</v>
      </c>
      <c r="AN16" t="s">
        <v>98</v>
      </c>
      <c r="AO16" t="s">
        <v>92</v>
      </c>
      <c r="AP16" t="s">
        <v>109</v>
      </c>
      <c r="AQ16" t="s">
        <v>102</v>
      </c>
      <c r="AR16" t="s">
        <v>90</v>
      </c>
      <c r="AS16" t="s">
        <v>92</v>
      </c>
      <c r="AT16" t="s">
        <v>102</v>
      </c>
      <c r="AU16" t="s">
        <v>93</v>
      </c>
      <c r="AZ16" t="s">
        <v>113</v>
      </c>
    </row>
    <row r="17" ht="15" customHeight="1" spans="1:52" x14ac:dyDescent="0.25">
      <c r="A17" t="s">
        <v>84</v>
      </c>
      <c r="B17" t="s">
        <v>113</v>
      </c>
      <c r="C17" t="s">
        <v>77</v>
      </c>
      <c r="M17" t="s">
        <v>106</v>
      </c>
      <c r="N17" t="s">
        <v>83</v>
      </c>
      <c r="O17" t="s">
        <v>77</v>
      </c>
      <c r="P17" t="s">
        <v>84</v>
      </c>
      <c r="R17" t="s">
        <v>92</v>
      </c>
      <c r="T17" t="s">
        <v>77</v>
      </c>
      <c r="V17" t="s">
        <v>77</v>
      </c>
      <c r="W17" t="s">
        <v>77</v>
      </c>
      <c r="X17" t="s">
        <v>92</v>
      </c>
      <c r="Y17" t="s">
        <v>90</v>
      </c>
      <c r="Z17" t="s">
        <v>111</v>
      </c>
      <c r="AA17" t="s">
        <v>77</v>
      </c>
      <c r="AB17" t="s">
        <v>92</v>
      </c>
      <c r="AI17" t="s">
        <v>91</v>
      </c>
      <c r="AJ17" t="s">
        <v>102</v>
      </c>
      <c r="AL17" t="s">
        <v>91</v>
      </c>
      <c r="AM17" t="s">
        <v>90</v>
      </c>
      <c r="AN17" t="s">
        <v>106</v>
      </c>
      <c r="AP17" t="s">
        <v>69</v>
      </c>
      <c r="AQ17" t="s">
        <v>93</v>
      </c>
      <c r="AR17" t="s">
        <v>84</v>
      </c>
      <c r="AT17" t="s">
        <v>106</v>
      </c>
      <c r="AU17" t="s">
        <v>109</v>
      </c>
    </row>
    <row r="18" ht="15" customHeight="1" spans="1:47" x14ac:dyDescent="0.25">
      <c r="A18" t="s">
        <v>77</v>
      </c>
      <c r="M18" t="s">
        <v>92</v>
      </c>
      <c r="P18" t="s">
        <v>77</v>
      </c>
      <c r="Y18" t="s">
        <v>106</v>
      </c>
      <c r="Z18" t="s">
        <v>84</v>
      </c>
      <c r="AB18" t="s">
        <v>77</v>
      </c>
      <c r="AI18" t="s">
        <v>94</v>
      </c>
      <c r="AJ18" t="s">
        <v>106</v>
      </c>
      <c r="AL18" t="s">
        <v>90</v>
      </c>
      <c r="AM18" t="s">
        <v>69</v>
      </c>
      <c r="AN18" t="s">
        <v>92</v>
      </c>
      <c r="AP18" t="s">
        <v>107</v>
      </c>
      <c r="AQ18" t="s">
        <v>109</v>
      </c>
      <c r="AR18" t="s">
        <v>77</v>
      </c>
      <c r="AT18" t="s">
        <v>114</v>
      </c>
      <c r="AU18" t="s">
        <v>95</v>
      </c>
    </row>
    <row r="19" ht="15" customHeight="1" spans="1:47" x14ac:dyDescent="0.25">
      <c r="M19" t="s">
        <v>91</v>
      </c>
      <c r="Y19" t="s">
        <v>92</v>
      </c>
      <c r="Z19" t="s">
        <v>77</v>
      </c>
      <c r="AI19" t="s">
        <v>84</v>
      </c>
      <c r="AJ19" t="s">
        <v>92</v>
      </c>
      <c r="AL19" t="s">
        <v>83</v>
      </c>
      <c r="AM19" t="s">
        <v>97</v>
      </c>
      <c r="AP19" t="s">
        <v>77</v>
      </c>
      <c r="AQ19" t="s">
        <v>80</v>
      </c>
      <c r="AR19" t="s">
        <v>114</v>
      </c>
      <c r="AU19" t="s">
        <v>84</v>
      </c>
    </row>
    <row r="20" ht="15" customHeight="1" spans="13:47" x14ac:dyDescent="0.25">
      <c r="AI20" t="s">
        <v>77</v>
      </c>
      <c r="AJ20" t="s">
        <v>114</v>
      </c>
      <c r="AL20" t="s">
        <v>102</v>
      </c>
      <c r="AM20" t="s">
        <v>84</v>
      </c>
      <c r="AQ20" t="s">
        <v>107</v>
      </c>
      <c r="AU20" t="s">
        <v>77</v>
      </c>
    </row>
    <row r="21" ht="15" customHeight="1" spans="35:47" x14ac:dyDescent="0.25">
      <c r="AI21" t="s">
        <v>95</v>
      </c>
      <c r="AL21" t="s">
        <v>84</v>
      </c>
      <c r="AM21" t="s">
        <v>77</v>
      </c>
      <c r="AQ21" t="s">
        <v>92</v>
      </c>
      <c r="AU21" t="s">
        <v>113</v>
      </c>
    </row>
    <row r="22" ht="15" customHeight="1" spans="35:47" x14ac:dyDescent="0.25">
      <c r="AI22" t="s">
        <v>82</v>
      </c>
      <c r="AL22" t="s">
        <v>77</v>
      </c>
    </row>
    <row r="23" ht="15" customHeight="1" spans="35:38" x14ac:dyDescent="0.25">
      <c r="AL23" t="s">
        <v>114</v>
      </c>
    </row>
    <row r="24" ht="15" customHeight="1" spans="38:38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A6:BA15 BB6:BB16 A7:AZ7 AA7:AA16 AD7:AD16 A8:Z8 AE8:AX8 AB8:AC12 AY8:AY16 AZ8:AZ17 H9:Z11 AE9:AU11 A9:E12 AV9:AV15 F9:G16 AX9:AX16 AW9:AW17 O11:O16 Q11:Q16 AH12:AU12 R12:Z13 AG12:AG16 AP12:AP16 AT12:AT16 H12:N17 P12:P17 AE12:AF17 E13:E16 AB13:AB16 AM13:AN16 A13:D17 AC13:AC17 AH13:AL17 AO13:AO17 AQ13:AS17 AU13:AU17 X14:X16 R14:W17 Y14:Z17">
    <cfRule type="expression" dxfId="0" priority="1">
      <formula>"&gt;2025-11-05"</formula>
    </cfRule>
  </conditionalFormatting>
  <conditionalFormatting sqref="A4:XFD32">
    <cfRule type="expression" dxfId="1" priority="7">
      <formula>A4 &gt; "2025-12-06"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42"/>
  <sheetViews>
    <sheetView workbookViewId="0" zoomScale="100" zoomScaleNormal="100">
      <selection activeCell="CN15" sqref="CN15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54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78</v>
      </c>
      <c r="G3" t="s">
        <v>62</v>
      </c>
      <c r="H3" t="s">
        <v>71</v>
      </c>
      <c r="I3" t="s">
        <v>87</v>
      </c>
      <c r="J3" t="s">
        <v>67</v>
      </c>
      <c r="K3" t="s">
        <v>76</v>
      </c>
      <c r="L3" t="s">
        <v>79</v>
      </c>
      <c r="M3" t="s">
        <v>63</v>
      </c>
      <c r="N3" t="s">
        <v>64</v>
      </c>
      <c r="O3" t="s">
        <v>88</v>
      </c>
      <c r="P3" t="s">
        <v>68</v>
      </c>
      <c r="Q3" t="s">
        <v>72</v>
      </c>
      <c r="R3" t="s">
        <v>96</v>
      </c>
      <c r="S3" t="s">
        <v>86</v>
      </c>
      <c r="T3" t="s">
        <v>85</v>
      </c>
      <c r="U3" t="s">
        <v>73</v>
      </c>
      <c r="V3" t="s">
        <v>74</v>
      </c>
      <c r="W3" t="s">
        <v>89</v>
      </c>
      <c r="X3" t="s">
        <v>104</v>
      </c>
      <c r="Y3" t="s">
        <v>103</v>
      </c>
      <c r="Z3" t="s">
        <v>101</v>
      </c>
      <c r="AA3" t="s">
        <v>99</v>
      </c>
      <c r="AB3" t="s">
        <v>100</v>
      </c>
      <c r="AC3" t="s">
        <v>108</v>
      </c>
      <c r="AD3" t="s">
        <v>97</v>
      </c>
      <c r="AE3" t="s">
        <v>93</v>
      </c>
      <c r="AF3" t="s">
        <v>81</v>
      </c>
      <c r="AG3" t="s">
        <v>94</v>
      </c>
      <c r="AH3" t="s">
        <v>80</v>
      </c>
      <c r="AI3" t="s">
        <v>75</v>
      </c>
      <c r="AJ3" t="s">
        <v>83</v>
      </c>
      <c r="AK3" t="s">
        <v>102</v>
      </c>
      <c r="AL3" t="s">
        <v>98</v>
      </c>
      <c r="AM3" t="s">
        <v>112</v>
      </c>
      <c r="AN3" t="s">
        <v>82</v>
      </c>
      <c r="AO3" t="s">
        <v>110</v>
      </c>
      <c r="AP3" t="s">
        <v>91</v>
      </c>
      <c r="AQ3" t="s">
        <v>109</v>
      </c>
      <c r="AR3" t="s">
        <v>105</v>
      </c>
      <c r="AS3" t="s">
        <v>69</v>
      </c>
      <c r="AT3" t="s">
        <v>90</v>
      </c>
      <c r="AU3" t="s">
        <v>111</v>
      </c>
      <c r="AV3" t="s">
        <v>106</v>
      </c>
      <c r="AW3" t="s">
        <v>107</v>
      </c>
      <c r="AX3" t="s">
        <v>84</v>
      </c>
      <c r="AY3" t="s">
        <v>92</v>
      </c>
      <c r="AZ3" t="s">
        <v>77</v>
      </c>
      <c r="BA3" t="s">
        <v>114</v>
      </c>
      <c r="BB3" t="s">
        <v>113</v>
      </c>
    </row>
    <row r="4" ht="15" customHeight="1" spans="1:54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31</v>
      </c>
      <c r="AP4" t="s">
        <v>42</v>
      </c>
      <c r="AQ4" t="s">
        <v>49</v>
      </c>
      <c r="AR4" t="s">
        <v>50</v>
      </c>
      <c r="AS4" t="s">
        <v>15</v>
      </c>
      <c r="AT4" t="s">
        <v>31</v>
      </c>
      <c r="AU4" t="s">
        <v>35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49</v>
      </c>
    </row>
    <row r="5" ht="15" customHeight="1" spans="1:54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19</v>
      </c>
      <c r="AP5" t="s">
        <v>52</v>
      </c>
      <c r="AQ5" t="s">
        <v>44</v>
      </c>
      <c r="AR5" t="s">
        <v>48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</v>
      </c>
    </row>
    <row r="6" ht="15" customHeight="1" spans="1:54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56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26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</row>
    <row r="7" ht="15" customHeight="1" spans="1:54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</row>
    <row r="8" ht="15" customHeight="1" spans="1:54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52</v>
      </c>
      <c r="AX8" t="s">
        <v>13</v>
      </c>
      <c r="AY8" t="s">
        <v>6</v>
      </c>
      <c r="AZ8" t="s">
        <v>3</v>
      </c>
    </row>
    <row r="9" ht="15" customHeight="1" spans="1:52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50</v>
      </c>
      <c r="AX9" t="s">
        <v>4</v>
      </c>
      <c r="AY9" t="s">
        <v>9</v>
      </c>
      <c r="AZ9" t="s">
        <v>4</v>
      </c>
    </row>
    <row r="10" ht="15" customHeight="1" spans="1:52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</row>
    <row r="11" ht="15" customHeight="1" spans="1:52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55</v>
      </c>
      <c r="AY11" t="s">
        <v>7</v>
      </c>
      <c r="AZ11" t="s">
        <v>39</v>
      </c>
    </row>
    <row r="12" ht="15" customHeight="1" spans="1:52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</row>
    <row r="13" ht="15" customHeight="1" spans="1:52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</row>
    <row r="14" ht="15" customHeight="1" spans="1:52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</row>
    <row r="15" ht="15" customHeight="1" spans="1:52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</row>
    <row r="16" ht="15" customHeight="1" spans="1:52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</row>
    <row r="17" ht="15" customHeight="1" spans="1:52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19</v>
      </c>
      <c r="AY17" t="s">
        <v>36</v>
      </c>
      <c r="AZ17" t="s">
        <v>24</v>
      </c>
    </row>
    <row r="18" ht="15" customHeight="1" spans="1:52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18</v>
      </c>
      <c r="AY18" t="s">
        <v>38</v>
      </c>
      <c r="AZ18" t="s">
        <v>34</v>
      </c>
    </row>
    <row r="19" ht="15" customHeight="1" spans="1:52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28</v>
      </c>
      <c r="AY19" t="s">
        <v>56</v>
      </c>
      <c r="AZ19" t="s">
        <v>28</v>
      </c>
    </row>
    <row r="20" ht="15" customHeight="1" spans="1:52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19</v>
      </c>
    </row>
    <row r="21" ht="15" customHeight="1" spans="1:52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16</v>
      </c>
    </row>
    <row r="22" ht="15" customHeight="1" spans="1:52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58</v>
      </c>
      <c r="AX22" t="s">
        <v>17</v>
      </c>
      <c r="AY22" t="s">
        <v>21</v>
      </c>
      <c r="AZ22" t="s">
        <v>18</v>
      </c>
    </row>
    <row r="23" ht="15" customHeight="1" spans="1:52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41</v>
      </c>
      <c r="AX23" t="s">
        <v>46</v>
      </c>
      <c r="AY23" t="s">
        <v>26</v>
      </c>
      <c r="AZ23" t="s">
        <v>29</v>
      </c>
    </row>
    <row r="24" ht="15" customHeight="1" spans="4:52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31</v>
      </c>
    </row>
    <row r="25" ht="15" customHeight="1" spans="4:52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57</v>
      </c>
      <c r="AZ25" t="s">
        <v>40</v>
      </c>
    </row>
    <row r="26" ht="15" customHeight="1" spans="4:52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32</v>
      </c>
      <c r="AZ26" t="s">
        <v>46</v>
      </c>
    </row>
    <row r="27" ht="15" customHeight="1" spans="4:52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45</v>
      </c>
      <c r="AZ27" t="s">
        <v>30</v>
      </c>
    </row>
    <row r="28" ht="15" customHeight="1" spans="50:52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B14"/>
  <sheetViews>
    <sheetView workbookViewId="0" zoomScale="96" zoomScaleNormal="96">
      <selection activeCell="V5" sqref="V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ht="15" customHeight="1" spans="1:54" x14ac:dyDescent="0.25">
      <c r="A3" t="s">
        <v>65</v>
      </c>
      <c r="B3" t="s">
        <v>66</v>
      </c>
      <c r="C3" t="s">
        <v>60</v>
      </c>
      <c r="D3" t="s">
        <v>61</v>
      </c>
      <c r="E3" t="s">
        <v>70</v>
      </c>
      <c r="F3" t="s">
        <v>78</v>
      </c>
      <c r="G3" t="s">
        <v>62</v>
      </c>
      <c r="H3" t="s">
        <v>71</v>
      </c>
      <c r="I3" t="s">
        <v>87</v>
      </c>
      <c r="J3" t="s">
        <v>67</v>
      </c>
      <c r="K3" t="s">
        <v>76</v>
      </c>
      <c r="L3" t="s">
        <v>79</v>
      </c>
      <c r="M3" t="s">
        <v>63</v>
      </c>
      <c r="N3" t="s">
        <v>64</v>
      </c>
      <c r="O3" t="s">
        <v>88</v>
      </c>
      <c r="P3" t="s">
        <v>68</v>
      </c>
      <c r="Q3" t="s">
        <v>72</v>
      </c>
      <c r="R3" t="s">
        <v>96</v>
      </c>
      <c r="S3" t="s">
        <v>86</v>
      </c>
      <c r="T3" t="s">
        <v>85</v>
      </c>
      <c r="U3" t="s">
        <v>73</v>
      </c>
      <c r="V3" t="s">
        <v>74</v>
      </c>
      <c r="W3" t="s">
        <v>89</v>
      </c>
      <c r="X3" t="s">
        <v>104</v>
      </c>
      <c r="Y3" t="s">
        <v>103</v>
      </c>
      <c r="Z3" t="s">
        <v>101</v>
      </c>
      <c r="AA3" t="s">
        <v>99</v>
      </c>
      <c r="AB3" t="s">
        <v>100</v>
      </c>
      <c r="AC3" t="s">
        <v>108</v>
      </c>
      <c r="AD3" t="s">
        <v>97</v>
      </c>
      <c r="AE3" t="s">
        <v>93</v>
      </c>
      <c r="AF3" t="s">
        <v>81</v>
      </c>
      <c r="AG3" t="s">
        <v>94</v>
      </c>
      <c r="AH3" t="s">
        <v>80</v>
      </c>
      <c r="AI3" t="s">
        <v>75</v>
      </c>
      <c r="AJ3" t="s">
        <v>83</v>
      </c>
      <c r="AK3" t="s">
        <v>102</v>
      </c>
      <c r="AL3" t="s">
        <v>98</v>
      </c>
      <c r="AM3" t="s">
        <v>112</v>
      </c>
      <c r="AN3" t="s">
        <v>82</v>
      </c>
      <c r="AO3" t="s">
        <v>110</v>
      </c>
      <c r="AP3" t="s">
        <v>91</v>
      </c>
      <c r="AQ3" t="s">
        <v>109</v>
      </c>
      <c r="AR3" t="s">
        <v>105</v>
      </c>
      <c r="AS3" t="s">
        <v>69</v>
      </c>
      <c r="AT3" t="s">
        <v>90</v>
      </c>
      <c r="AU3" t="s">
        <v>111</v>
      </c>
      <c r="AV3" t="s">
        <v>106</v>
      </c>
      <c r="AW3" t="s">
        <v>107</v>
      </c>
      <c r="AX3" t="s">
        <v>84</v>
      </c>
      <c r="AY3" t="s">
        <v>92</v>
      </c>
      <c r="AZ3" t="s">
        <v>77</v>
      </c>
      <c r="BA3" t="s">
        <v>114</v>
      </c>
      <c r="BB3" t="s">
        <v>113</v>
      </c>
    </row>
    <row r="4" ht="15" customHeight="1" spans="1:54" x14ac:dyDescent="0.25">
      <c r="A4" t="s">
        <v>115</v>
      </c>
      <c r="B4" t="s">
        <v>116</v>
      </c>
      <c r="C4" t="s">
        <v>117</v>
      </c>
      <c r="D4" t="s">
        <v>118</v>
      </c>
      <c r="E4" t="s">
        <v>119</v>
      </c>
      <c r="F4" t="s">
        <v>120</v>
      </c>
      <c r="G4" t="s">
        <v>121</v>
      </c>
      <c r="H4" t="s">
        <v>122</v>
      </c>
      <c r="I4" t="s">
        <v>123</v>
      </c>
      <c r="J4" t="s">
        <v>124</v>
      </c>
      <c r="K4" t="s">
        <v>125</v>
      </c>
      <c r="L4" t="s">
        <v>126</v>
      </c>
      <c r="M4" t="s">
        <v>127</v>
      </c>
      <c r="N4" t="s">
        <v>128</v>
      </c>
      <c r="O4" t="s">
        <v>129</v>
      </c>
      <c r="P4" t="s">
        <v>130</v>
      </c>
      <c r="Q4" t="s">
        <v>131</v>
      </c>
      <c r="R4" t="s">
        <v>132</v>
      </c>
      <c r="S4" t="s">
        <v>133</v>
      </c>
      <c r="T4" t="s">
        <v>134</v>
      </c>
      <c r="U4" t="s">
        <v>135</v>
      </c>
      <c r="V4" t="s">
        <v>136</v>
      </c>
      <c r="W4" t="s">
        <v>137</v>
      </c>
      <c r="X4" t="s">
        <v>138</v>
      </c>
      <c r="Y4" t="s">
        <v>139</v>
      </c>
      <c r="Z4" t="s">
        <v>140</v>
      </c>
      <c r="AA4" t="s">
        <v>141</v>
      </c>
      <c r="AB4" t="s">
        <v>142</v>
      </c>
      <c r="AC4" t="s">
        <v>143</v>
      </c>
      <c r="AD4" t="s">
        <v>144</v>
      </c>
      <c r="AE4" t="s">
        <v>121</v>
      </c>
      <c r="AF4" t="s">
        <v>145</v>
      </c>
      <c r="AG4" t="s">
        <v>146</v>
      </c>
      <c r="AH4" t="s">
        <v>147</v>
      </c>
      <c r="AI4" t="s">
        <v>148</v>
      </c>
      <c r="AJ4" t="s">
        <v>149</v>
      </c>
      <c r="AK4" t="s">
        <v>150</v>
      </c>
      <c r="AL4" t="s">
        <v>151</v>
      </c>
      <c r="AM4" t="s">
        <v>152</v>
      </c>
      <c r="AN4" t="s">
        <v>153</v>
      </c>
      <c r="AO4" t="s">
        <v>154</v>
      </c>
      <c r="AP4" t="s">
        <v>155</v>
      </c>
      <c r="AQ4" t="s">
        <v>156</v>
      </c>
      <c r="AR4" t="s">
        <v>157</v>
      </c>
      <c r="AS4" t="s">
        <v>158</v>
      </c>
      <c r="AT4" t="s">
        <v>159</v>
      </c>
      <c r="AU4" t="s">
        <v>160</v>
      </c>
      <c r="AV4" t="s">
        <v>161</v>
      </c>
      <c r="AW4" t="s">
        <v>162</v>
      </c>
      <c r="AX4" t="s">
        <v>163</v>
      </c>
      <c r="AY4" t="s">
        <v>164</v>
      </c>
      <c r="AZ4" t="s">
        <v>165</v>
      </c>
      <c r="BA4" t="s">
        <v>166</v>
      </c>
      <c r="BB4" t="s">
        <v>167</v>
      </c>
    </row>
    <row r="5" ht="15" customHeight="1" spans="1:54" x14ac:dyDescent="0.25">
      <c r="A5" t="s">
        <v>168</v>
      </c>
      <c r="D5" t="s">
        <v>169</v>
      </c>
      <c r="E5" t="s">
        <v>170</v>
      </c>
      <c r="G5" t="s">
        <v>171</v>
      </c>
      <c r="H5" t="s">
        <v>172</v>
      </c>
      <c r="I5" t="s">
        <v>173</v>
      </c>
      <c r="J5" t="s">
        <v>174</v>
      </c>
      <c r="K5" t="s">
        <v>175</v>
      </c>
      <c r="L5" t="s">
        <v>176</v>
      </c>
      <c r="M5" t="s">
        <v>177</v>
      </c>
      <c r="N5" t="s">
        <v>178</v>
      </c>
      <c r="P5" t="s">
        <v>179</v>
      </c>
      <c r="Q5" t="s">
        <v>132</v>
      </c>
      <c r="T5" t="s">
        <v>180</v>
      </c>
      <c r="U5" t="s">
        <v>181</v>
      </c>
      <c r="W5" t="s">
        <v>182</v>
      </c>
      <c r="AA5" t="s">
        <v>183</v>
      </c>
      <c r="AB5" t="s">
        <v>184</v>
      </c>
      <c r="AE5" t="s">
        <v>185</v>
      </c>
      <c r="AG5" t="s">
        <v>186</v>
      </c>
      <c r="AI5" t="s">
        <v>187</v>
      </c>
      <c r="AJ5" t="s">
        <v>188</v>
      </c>
      <c r="AK5" t="s">
        <v>189</v>
      </c>
      <c r="AN5" t="s">
        <v>190</v>
      </c>
      <c r="AP5" t="s">
        <v>191</v>
      </c>
      <c r="AS5" t="s">
        <v>192</v>
      </c>
      <c r="AT5" t="s">
        <v>193</v>
      </c>
      <c r="AV5" t="s">
        <v>194</v>
      </c>
      <c r="AX5" t="s">
        <v>195</v>
      </c>
      <c r="AY5" t="s">
        <v>196</v>
      </c>
      <c r="AZ5" t="s">
        <v>197</v>
      </c>
    </row>
    <row r="6" ht="15" customHeight="1" spans="1:52" x14ac:dyDescent="0.25">
      <c r="A6" t="s">
        <v>198</v>
      </c>
      <c r="D6" t="s">
        <v>199</v>
      </c>
      <c r="E6" t="s">
        <v>200</v>
      </c>
      <c r="G6" t="s">
        <v>201</v>
      </c>
      <c r="H6" t="s">
        <v>202</v>
      </c>
      <c r="J6" t="s">
        <v>203</v>
      </c>
      <c r="L6" t="s">
        <v>204</v>
      </c>
      <c r="M6" t="s">
        <v>205</v>
      </c>
      <c r="N6" t="s">
        <v>206</v>
      </c>
      <c r="P6" t="s">
        <v>207</v>
      </c>
      <c r="Q6" t="s">
        <v>208</v>
      </c>
      <c r="T6" t="s">
        <v>209</v>
      </c>
      <c r="U6" t="s">
        <v>210</v>
      </c>
      <c r="W6" t="s">
        <v>211</v>
      </c>
      <c r="AE6" t="s">
        <v>212</v>
      </c>
      <c r="AG6" t="s">
        <v>213</v>
      </c>
      <c r="AI6" t="s">
        <v>214</v>
      </c>
      <c r="AJ6" t="s">
        <v>215</v>
      </c>
      <c r="AN6" t="s">
        <v>216</v>
      </c>
      <c r="AP6" t="s">
        <v>217</v>
      </c>
      <c r="AS6" t="s">
        <v>218</v>
      </c>
      <c r="AT6" t="s">
        <v>219</v>
      </c>
      <c r="AV6" t="s">
        <v>220</v>
      </c>
      <c r="AX6" t="s">
        <v>221</v>
      </c>
      <c r="AY6" t="s">
        <v>222</v>
      </c>
      <c r="AZ6" t="s">
        <v>223</v>
      </c>
    </row>
    <row r="7" ht="15" customHeight="1" spans="1:52" x14ac:dyDescent="0.25">
      <c r="A7" t="s">
        <v>224</v>
      </c>
      <c r="D7" t="s">
        <v>225</v>
      </c>
      <c r="E7" t="s">
        <v>226</v>
      </c>
      <c r="G7" t="s">
        <v>227</v>
      </c>
      <c r="H7" t="s">
        <v>228</v>
      </c>
      <c r="J7" t="s">
        <v>229</v>
      </c>
      <c r="L7" t="s">
        <v>230</v>
      </c>
      <c r="M7" t="s">
        <v>231</v>
      </c>
      <c r="N7" t="s">
        <v>232</v>
      </c>
      <c r="P7" t="s">
        <v>233</v>
      </c>
      <c r="Q7" t="s">
        <v>234</v>
      </c>
      <c r="T7" t="s">
        <v>235</v>
      </c>
      <c r="U7" t="s">
        <v>236</v>
      </c>
      <c r="W7" t="s">
        <v>237</v>
      </c>
      <c r="AG7" t="s">
        <v>238</v>
      </c>
      <c r="AI7" t="s">
        <v>239</v>
      </c>
      <c r="AJ7" t="s">
        <v>150</v>
      </c>
      <c r="AN7" t="s">
        <v>240</v>
      </c>
      <c r="AP7" t="s">
        <v>241</v>
      </c>
      <c r="AT7" t="s">
        <v>242</v>
      </c>
      <c r="AV7" t="s">
        <v>243</v>
      </c>
      <c r="AX7" t="s">
        <v>244</v>
      </c>
      <c r="AY7" t="s">
        <v>245</v>
      </c>
      <c r="AZ7" t="s">
        <v>246</v>
      </c>
    </row>
    <row r="8" ht="15" customHeight="1" spans="1:52" x14ac:dyDescent="0.25">
      <c r="A8" t="s">
        <v>247</v>
      </c>
      <c r="D8" t="s">
        <v>248</v>
      </c>
      <c r="E8" t="s">
        <v>249</v>
      </c>
      <c r="G8" t="s">
        <v>250</v>
      </c>
      <c r="H8" t="s">
        <v>251</v>
      </c>
      <c r="J8" t="s">
        <v>252</v>
      </c>
      <c r="N8" t="s">
        <v>253</v>
      </c>
      <c r="P8" t="s">
        <v>254</v>
      </c>
      <c r="Q8" t="s">
        <v>255</v>
      </c>
      <c r="T8" t="s">
        <v>256</v>
      </c>
      <c r="U8" t="s">
        <v>257</v>
      </c>
      <c r="AG8" t="s">
        <v>258</v>
      </c>
      <c r="AI8" t="s">
        <v>259</v>
      </c>
      <c r="AJ8" t="s">
        <v>260</v>
      </c>
      <c r="AN8" t="s">
        <v>261</v>
      </c>
      <c r="AP8" t="s">
        <v>262</v>
      </c>
      <c r="AT8" t="s">
        <v>263</v>
      </c>
      <c r="AX8" t="s">
        <v>264</v>
      </c>
      <c r="AY8" t="s">
        <v>265</v>
      </c>
      <c r="AZ8" t="s">
        <v>266</v>
      </c>
    </row>
    <row r="9" ht="15" customHeight="1" spans="4:52" x14ac:dyDescent="0.25">
      <c r="D9" t="s">
        <v>267</v>
      </c>
      <c r="H9" t="s">
        <v>268</v>
      </c>
      <c r="J9" t="s">
        <v>269</v>
      </c>
      <c r="P9" t="s">
        <v>270</v>
      </c>
      <c r="Q9" t="s">
        <v>271</v>
      </c>
      <c r="T9" t="s">
        <v>272</v>
      </c>
      <c r="AG9" t="s">
        <v>273</v>
      </c>
      <c r="AJ9" t="s">
        <v>274</v>
      </c>
      <c r="AX9" t="s">
        <v>275</v>
      </c>
      <c r="AY9" t="s">
        <v>276</v>
      </c>
      <c r="AZ9" t="s">
        <v>277</v>
      </c>
    </row>
    <row r="10" ht="15" customHeight="1" spans="50:52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P9" sqref="P9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4" t="s">
        <v>278</v>
      </c>
      <c r="B1" s="5"/>
      <c r="C1" s="6">
        <f>COUNTIF(AHL_DAT_STRING!4:18,"&lt;&gt;")</f>
        <v>164</v>
      </c>
    </row>
    <row r="2" ht="15.75" customHeight="1" spans="1:3" x14ac:dyDescent="0.25">
      <c r="A2" s="7" t="s">
        <v>279</v>
      </c>
      <c r="B2" s="8"/>
      <c r="C2" s="9">
        <f>C1*4</f>
        <v>656</v>
      </c>
    </row>
    <row r="3" spans="1:8" x14ac:dyDescent="0.25">
      <c r="A3" s="10" t="s">
        <v>279</v>
      </c>
      <c r="B3" s="11">
        <f>COUNTIF(AHL!4:50, "&lt;&gt;")</f>
        <v>656</v>
      </c>
      <c r="E3" s="12" t="s">
        <v>280</v>
      </c>
      <c r="F3" s="8"/>
      <c r="G3" s="8"/>
      <c r="H3" s="8"/>
    </row>
    <row r="4" ht="15.75" customHeight="1" spans="1:12" x14ac:dyDescent="0.25">
      <c r="A4" s="13" t="s">
        <v>281</v>
      </c>
      <c r="B4" s="14">
        <f>SUMIF(AHL!2:2,"sl",AHL!1:1)</f>
        <v>121</v>
      </c>
      <c r="C4">
        <f>AHL!AH1</f>
        <v>8</v>
      </c>
      <c r="E4" t="s">
        <v>282</v>
      </c>
      <c r="F4" t="s">
        <v>283</v>
      </c>
      <c r="G4" t="s">
        <v>284</v>
      </c>
      <c r="H4" t="s">
        <v>285</v>
      </c>
      <c r="I4" t="s">
        <v>286</v>
      </c>
      <c r="J4" t="s">
        <v>287</v>
      </c>
      <c r="K4" t="s">
        <v>288</v>
      </c>
      <c r="L4" t="s">
        <v>289</v>
      </c>
    </row>
    <row r="5" ht="15.75" customHeight="1" spans="1:12" x14ac:dyDescent="0.25">
      <c r="A5" s="13" t="s">
        <v>290</v>
      </c>
      <c r="B5" s="14">
        <f>SUMIF(AHL!2:2,"hr",AHL!1:1)</f>
        <v>0</v>
      </c>
      <c r="E5" s="15" t="s">
        <v>281</v>
      </c>
      <c r="F5" s="16">
        <v>1</v>
      </c>
      <c r="G5" s="17">
        <f>F5/13</f>
        <v>0.07692307692307693</v>
      </c>
      <c r="H5" s="18">
        <f>B4/B3</f>
        <v>0.18445121951219512</v>
      </c>
      <c r="I5" s="19">
        <f>C2*G5</f>
        <v>50.46153846153847</v>
      </c>
      <c r="J5" s="20">
        <f>B4</f>
        <v>121</v>
      </c>
      <c r="K5" s="21">
        <f>J5-I5</f>
        <v>70.53846153846153</v>
      </c>
      <c r="L5" s="22">
        <f>K5/4</f>
        <v>17.634615384615383</v>
      </c>
    </row>
    <row r="6" ht="15.75" customHeight="1" spans="1:12" x14ac:dyDescent="0.25">
      <c r="A6" s="13" t="s">
        <v>1</v>
      </c>
      <c r="B6" s="14">
        <f>SUMIF(AHL!2:2,"it",AHL!1:1)</f>
        <v>262</v>
      </c>
      <c r="C6">
        <f>AHL!AB1</f>
        <v>15</v>
      </c>
      <c r="E6" s="23" t="s">
        <v>290</v>
      </c>
      <c r="F6" s="24">
        <v>1</v>
      </c>
      <c r="G6" s="25">
        <f>F6/13</f>
        <v>0.07692307692307693</v>
      </c>
      <c r="H6" s="18">
        <f>B5/B3</f>
        <v>0</v>
      </c>
      <c r="I6" s="26">
        <f>C2*G6</f>
        <v>50.46153846153847</v>
      </c>
      <c r="J6" s="20">
        <f>B5</f>
        <v>0</v>
      </c>
      <c r="K6" s="27">
        <f>J6-I6</f>
        <v>-50.46153846153847</v>
      </c>
      <c r="L6" s="22">
        <f t="shared" ref="L6" si="0">K6/4</f>
        <v>-12.615384615384617</v>
      </c>
    </row>
    <row r="7" ht="15.75" customHeight="1" spans="1:12" x14ac:dyDescent="0.25">
      <c r="A7" s="28" t="s">
        <v>2</v>
      </c>
      <c r="B7" s="29">
        <f>SUMIF(AHL!2:2,"au",AHL!1:1)</f>
        <v>273</v>
      </c>
      <c r="C7">
        <f>SUM(AHL!AV1,AHL!BA1,AHL!L1,AHL!AF1,AHL!BF1,AHL!BG1,AHL!BH1,AHL!BE1)</f>
        <v>21</v>
      </c>
      <c r="E7" s="30" t="s">
        <v>291</v>
      </c>
      <c r="F7" s="31">
        <v>2</v>
      </c>
      <c r="G7" s="32">
        <f t="shared" ref="G7:G9" si="1">F7/13</f>
        <v>0.15384615384615385</v>
      </c>
      <c r="H7" s="33">
        <f>(B5+B4)/B3</f>
        <v>0.18445121951219512</v>
      </c>
      <c r="I7" s="34">
        <f>C2*G7</f>
        <v>100.92307692307693</v>
      </c>
      <c r="J7" s="35">
        <f>B4+B5</f>
        <v>121</v>
      </c>
      <c r="K7" s="36">
        <f>J7-I7</f>
        <v>20.076923076923066</v>
      </c>
      <c r="L7" s="37">
        <f>K7/4</f>
        <v>5.0192307692307665</v>
      </c>
    </row>
    <row r="8" ht="15.75" customHeight="1" spans="1:12" x14ac:dyDescent="0.25">
      <c r="A8" s="38" t="s">
        <v>292</v>
      </c>
      <c r="C8">
        <f>SUM(C4:C7)</f>
        <v>44</v>
      </c>
      <c r="E8" s="13" t="s">
        <v>293</v>
      </c>
      <c r="F8" s="39">
        <v>7</v>
      </c>
      <c r="G8" s="40">
        <f t="shared" si="1"/>
        <v>0.5384615384615384</v>
      </c>
      <c r="H8" s="41">
        <f>B6/B3</f>
        <v>0.39939024390243905</v>
      </c>
      <c r="I8" s="42">
        <f>C2*G8</f>
        <v>353.2307692307692</v>
      </c>
      <c r="J8">
        <f>B6</f>
        <v>262</v>
      </c>
      <c r="K8" s="43">
        <f>J8-I8</f>
        <v>-91.23076923076923</v>
      </c>
      <c r="L8" s="44">
        <f>K8/4</f>
        <v>-22.807692307692307</v>
      </c>
    </row>
    <row r="9" ht="15.75" customHeight="1" spans="1:12" x14ac:dyDescent="0.25">
      <c r="A9" t="s">
        <v>294</v>
      </c>
      <c r="B9">
        <f>SUM(B4:B7)</f>
        <v>656</v>
      </c>
      <c r="E9" s="28" t="s">
        <v>295</v>
      </c>
      <c r="F9" s="45">
        <v>4</v>
      </c>
      <c r="G9" s="46">
        <f t="shared" si="1"/>
        <v>0.3076923076923077</v>
      </c>
      <c r="H9" s="41">
        <f>B7/B3</f>
        <v>0.41615853658536583</v>
      </c>
      <c r="I9" s="47">
        <f>C2*G9</f>
        <v>201.84615384615387</v>
      </c>
      <c r="J9" s="48">
        <f>B7</f>
        <v>273</v>
      </c>
      <c r="K9" s="49">
        <f>J9-I9</f>
        <v>71.15384615384613</v>
      </c>
      <c r="L9" s="50">
        <f>K9/4</f>
        <v>17.788461538461533</v>
      </c>
    </row>
    <row r="11" spans="8:12" x14ac:dyDescent="0.25">
      <c r="H11" s="51" t="s">
        <v>296</v>
      </c>
      <c r="I11" s="52">
        <f>SUM(I7:I9)</f>
        <v>656</v>
      </c>
      <c r="J11" s="53">
        <f>SUM(J7:J9)</f>
        <v>656</v>
      </c>
      <c r="K11" s="54">
        <f>SUM(K7:K9)</f>
        <v>0</v>
      </c>
      <c r="L11" s="55">
        <f>SUM(L7:L9)</f>
        <v>0</v>
      </c>
    </row>
    <row r="12" spans="5:5" x14ac:dyDescent="0.25">
      <c r="E12" t="s">
        <v>297</v>
      </c>
    </row>
    <row r="13" ht="15.75" customHeight="1" spans="1:10" x14ac:dyDescent="0.25">
      <c r="A13" t="s">
        <v>298</v>
      </c>
      <c r="B13">
        <f>C1/2/6</f>
        <v>13.666666666666666</v>
      </c>
      <c r="F13" t="s">
        <v>299</v>
      </c>
      <c r="G13" t="s">
        <v>300</v>
      </c>
      <c r="J13" s="56" t="s">
        <v>301</v>
      </c>
    </row>
    <row r="14" ht="15.75" customHeight="1" spans="5:10" x14ac:dyDescent="0.25">
      <c r="E14" t="s">
        <v>295</v>
      </c>
      <c r="F14" s="10">
        <v>11</v>
      </c>
      <c r="G14" s="57">
        <v>13</v>
      </c>
      <c r="H14" s="58">
        <f>SUM(F14:G14)</f>
        <v>24</v>
      </c>
      <c r="J14">
        <f>B7/H14</f>
        <v>11.375</v>
      </c>
    </row>
    <row r="15" ht="15.75" customHeight="1" spans="5:10" x14ac:dyDescent="0.25">
      <c r="E15" t="s">
        <v>302</v>
      </c>
      <c r="F15" s="13">
        <v>9</v>
      </c>
      <c r="G15" s="59">
        <v>12</v>
      </c>
      <c r="H15" s="58">
        <f>SUM(F15:G15)</f>
        <v>21</v>
      </c>
      <c r="J15">
        <f>B6/H15</f>
        <v>12.476190476190476</v>
      </c>
    </row>
    <row r="16" ht="15.75" customHeight="1" spans="5:10" x14ac:dyDescent="0.25">
      <c r="E16" t="s">
        <v>291</v>
      </c>
      <c r="F16" s="60">
        <v>6</v>
      </c>
      <c r="G16" s="61">
        <v>6</v>
      </c>
      <c r="H16" s="58">
        <f>SUM(F16:G16)</f>
        <v>12</v>
      </c>
      <c r="J16">
        <f>B4/H16</f>
        <v>10.083333333333334</v>
      </c>
    </row>
    <row r="17" ht="15.75" customHeight="1" spans="5:10" x14ac:dyDescent="0.25">
      <c r="E17" s="62" t="s">
        <v>303</v>
      </c>
      <c r="F17" s="58">
        <f>SUM(F14:F16)</f>
        <v>26</v>
      </c>
      <c r="G17" s="58">
        <f>SUM(G14:G16)</f>
        <v>31</v>
      </c>
      <c r="H17" s="58">
        <f>SUM(F17:G17)</f>
        <v>57</v>
      </c>
      <c r="J17">
        <f>B3/H17</f>
        <v>11.508771929824562</v>
      </c>
    </row>
    <row r="18" spans="17:17" x14ac:dyDescent="0.25">
      <c r="Q18" s="63"/>
    </row>
    <row r="19" ht="15.75" customHeight="1" x14ac:dyDescent="0.25"/>
    <row r="21" ht="46.5" customHeight="1" x14ac:dyDescent="0.25"/>
    <row r="22" ht="15.75" customHeight="1" x14ac:dyDescent="0.25"/>
    <row r="24" ht="15.75" customHeight="1" x14ac:dyDescent="0.25"/>
    <row r="25" ht="16.5" customHeight="1" x14ac:dyDescent="0.25"/>
    <row r="28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 zoomScale="100" zoomScaleNormal="100">
      <selection activeCell="B12" sqref="B12"/>
    </sheetView>
  </sheetViews>
  <sheetFormatPr defaultRowHeight="15" outlineLevelRow="0" outlineLevelCol="0" x14ac:dyDescent="0.25"/>
  <cols>
    <col min="1" max="1" width="102.42578125" customWidth="1"/>
  </cols>
  <sheetData>
    <row r="1" spans="1:7" x14ac:dyDescent="0.25">
      <c r="A1" s="3"/>
      <c r="D1" s="8" t="s">
        <v>304</v>
      </c>
      <c r="E1" s="8"/>
      <c r="F1" s="8"/>
      <c r="G1" s="8"/>
    </row>
    <row r="2" spans="1:1" x14ac:dyDescent="0.25">
      <c r="A2" s="64" t="s">
        <v>305</v>
      </c>
    </row>
    <row r="3" spans="1:1" x14ac:dyDescent="0.25">
      <c r="A3" s="64"/>
    </row>
    <row r="4" spans="1:1" x14ac:dyDescent="0.25">
      <c r="A4" s="64"/>
    </row>
    <row r="5" spans="1:1" x14ac:dyDescent="0.25">
      <c r="A5" s="65"/>
    </row>
    <row r="6" spans="1:1" x14ac:dyDescent="0.25">
      <c r="A6" s="65"/>
    </row>
    <row r="7" spans="1:1" x14ac:dyDescent="0.25">
      <c r="A7" s="66" t="s">
        <v>306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2025-11-20T14:37:23Z</dcterms:modified>
</cp:coreProperties>
</file>