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30D65564-ACDC-4883-9BAC-648229AAAEC1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5" l="1"/>
  <c r="K6" i="5"/>
  <c r="K9" i="5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B1" i="1"/>
  <c r="A1" i="1"/>
  <c r="G19" i="5" l="1"/>
  <c r="G18" i="5"/>
  <c r="G17" i="5"/>
  <c r="G9" i="5"/>
  <c r="G8" i="5"/>
  <c r="G7" i="5"/>
  <c r="C7" i="5"/>
  <c r="B7" i="5"/>
  <c r="G6" i="5"/>
  <c r="C6" i="5"/>
  <c r="B6" i="5"/>
  <c r="J8" i="5" s="1"/>
  <c r="G5" i="5"/>
  <c r="B5" i="5"/>
  <c r="J6" i="5" s="1"/>
  <c r="C4" i="5"/>
  <c r="B4" i="5"/>
  <c r="J5" i="5" s="1"/>
  <c r="B3" i="5"/>
  <c r="C1" i="5"/>
  <c r="C2" i="5" s="1"/>
  <c r="C8" i="5" l="1"/>
  <c r="I8" i="5"/>
  <c r="K8" i="5" s="1"/>
  <c r="I9" i="5"/>
  <c r="I6" i="5"/>
  <c r="I7" i="5"/>
  <c r="I5" i="5"/>
  <c r="L5" i="5" s="1"/>
  <c r="L6" i="5"/>
  <c r="L8" i="5"/>
  <c r="H7" i="5"/>
  <c r="B9" i="5"/>
  <c r="H17" i="5"/>
  <c r="H19" i="5"/>
  <c r="I17" i="5"/>
  <c r="I19" i="5"/>
  <c r="J7" i="5"/>
  <c r="H9" i="5"/>
  <c r="J17" i="5"/>
  <c r="J19" i="5"/>
  <c r="K19" i="5" s="1"/>
  <c r="L19" i="5" s="1"/>
  <c r="H6" i="5"/>
  <c r="J9" i="5"/>
  <c r="L9" i="5" s="1"/>
  <c r="H18" i="5"/>
  <c r="I18" i="5"/>
  <c r="H8" i="5"/>
  <c r="H5" i="5"/>
  <c r="J18" i="5"/>
  <c r="I11" i="5" l="1"/>
  <c r="K7" i="5"/>
  <c r="K17" i="5"/>
  <c r="L17" i="5" s="1"/>
  <c r="K18" i="5"/>
  <c r="L18" i="5" s="1"/>
  <c r="J11" i="5"/>
  <c r="K11" i="5" l="1"/>
  <c r="L7" i="5"/>
  <c r="L11" i="5" s="1"/>
</calcChain>
</file>

<file path=xl/sharedStrings.xml><?xml version="1.0" encoding="utf-8"?>
<sst xmlns="http://schemas.openxmlformats.org/spreadsheetml/2006/main" count="309" uniqueCount="101">
  <si>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</si>
  <si>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</si>
  <si>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</si>
  <si>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</si>
  <si>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</si>
  <si>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</si>
  <si>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</si>
  <si>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</si>
  <si>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RuetzMa</t>
  </si>
  <si>
    <t>WinklerDa</t>
  </si>
  <si>
    <t>DivisDo</t>
  </si>
  <si>
    <t>WendnerMa</t>
  </si>
  <si>
    <t>Huber rRe</t>
  </si>
  <si>
    <t>PirasAn</t>
  </si>
  <si>
    <t>IlmerNo</t>
  </si>
  <si>
    <t>StrimitzerDa</t>
  </si>
  <si>
    <t>BrockAd</t>
  </si>
  <si>
    <t>LazzeriAl</t>
  </si>
  <si>
    <t>GrisentiLu</t>
  </si>
  <si>
    <t>PreiserJu</t>
  </si>
  <si>
    <t>BenvegnuAn</t>
  </si>
  <si>
    <t>RivisFe</t>
  </si>
  <si>
    <t>BrondiMa</t>
  </si>
  <si>
    <t>RivisAn</t>
  </si>
  <si>
    <t>BulovecMi</t>
  </si>
  <si>
    <t>UnterwegerDo</t>
  </si>
  <si>
    <t>MiklicGr</t>
  </si>
  <si>
    <t>WuchererGe</t>
  </si>
  <si>
    <t>BergantAn</t>
  </si>
  <si>
    <t>LebenJa</t>
  </si>
  <si>
    <t>JeramFi</t>
  </si>
  <si>
    <t>RinkerDa</t>
  </si>
  <si>
    <t>VeselkaMa</t>
  </si>
  <si>
    <t>SnojTa</t>
  </si>
  <si>
    <t>SpiegelSe</t>
  </si>
  <si>
    <t>MarkizetiGr</t>
  </si>
  <si>
    <t>OrelSt</t>
  </si>
  <si>
    <t>HolzerTo</t>
  </si>
  <si>
    <t>Steiner fFe</t>
  </si>
  <si>
    <t>2025-09-20</t>
  </si>
  <si>
    <t>2025-09-21</t>
  </si>
  <si>
    <t>2025-09-26</t>
  </si>
  <si>
    <t>2025-09-27</t>
  </si>
  <si>
    <t>2025-09-25</t>
  </si>
  <si>
    <t>2025-10-01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</si>
  <si>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</si>
  <si>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</si>
  <si>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</si>
  <si>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Ritten;MoschenAn;PinieOm;CusinFe;IlmerNo</t>
  </si>
  <si>
    <t>Eisarena Salzburg;OrelSt;SpiegelSe;RinkerDa;WuchererGe</t>
  </si>
  <si>
    <t>Eishalle Dornbirn;HolzerTo;WinklerDa;DivisDo;RinkerDa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</si>
  <si>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</si>
  <si>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</si>
  <si>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</si>
  <si>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Eisarena Salzburg;RuetzMa;WinklerDa;DivisDo;WendnerMa</t>
  </si>
  <si>
    <t>Eishalle Meran;VirtaTu;WinklerDa;AbeltinoSi;RinkerDa</t>
  </si>
  <si>
    <t>Eishalle Sterzing;LebenJa;SnojTa;MarkizetiGr;MiklicGr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</si>
  <si>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</si>
  <si>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</si>
  <si>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</si>
  <si>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KELIT Arena Zell am See;BrockAd;LazzeriAl;GrisentiLu;PreiserJu</t>
  </si>
  <si>
    <t>Eishalle Asiago;PirasAn;RivisFe;GrisentiLu;RivisAn</t>
  </si>
  <si>
    <t>Eishalle Gröden;BenvegnuAn;StefenelliFe;FecchioFe;GrisentiLu</t>
  </si>
  <si>
    <t>Eishalle Cortina;SnojTa;SpiegelSe;MarkizetiGr;StrimitzerDa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</si>
  <si>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</si>
  <si>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</si>
  <si>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</si>
  <si>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</si>
  <si>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</si>
  <si>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</si>
  <si>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</si>
  <si>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</si>
  <si>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</si>
  <si>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</si>
  <si>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</si>
  <si>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</si>
  <si>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</si>
  <si>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it</t>
  </si>
  <si>
    <t>au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</si>
  <si>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</si>
  <si>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</si>
  <si>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</si>
  <si>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</si>
  <si>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</si>
  <si>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</si>
  <si>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</si>
  <si>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</si>
  <si>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sl</t>
  </si>
  <si>
    <t>Blaz Javornik - Ref ALPS &lt;javornik.blaz@gmail.com&gt;,</t>
  </si>
  <si>
    <t>Federico Giacomozzi - Ref ALPS &lt;federico.giacomozzi@gmail.com&gt;,</t>
  </si>
  <si>
    <t>Filip Metzinger - Ref AHL &lt;metzin41@yahoo.com&gt;,</t>
  </si>
  <si>
    <t>Florian Widmann - Ref ALPS &lt;florianwidmann@gmail.com&gt;,</t>
  </si>
  <si>
    <t>Konrad Legat - Ref ALPS &lt;konrad.jun@legat.cc&gt;,</t>
  </si>
  <si>
    <t>Matej Arlic - Ref ALPS &lt;matej.arlic@gmail.com&gt;,</t>
  </si>
  <si>
    <t>Mathias Cristelli - Ref ALPS &lt;mat_italia@hotmail.it&gt;,</t>
  </si>
  <si>
    <t>Miha Bajt - Ref ICE - Ref ALPS &lt;miha.bajt@gmail.com&gt;,</t>
  </si>
  <si>
    <t>Nik Bergelj - LM AHL &lt;nik.bergelj@gmail.com&gt;,</t>
  </si>
  <si>
    <t>Petja Murnik - Ref ALPS &lt;petja.murnik@gmail.com&gt;,</t>
  </si>
  <si>
    <t>Simone Soraperra - Ref ALPS &lt;simone.soraperra@gmail.com&gt;,</t>
  </si>
  <si>
    <t>te še niso dubl tekme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</si>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</sst>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color rgb="FF222222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" fontId="0" fillId="2" borderId="10" xfId="0" applyNumberFormat="1" applyFill="1" applyBorder="1"/>
    <xf numFmtId="1" fontId="2" fillId="3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10" fontId="0" fillId="4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4" borderId="6" xfId="0" applyFill="1" applyBorder="1"/>
    <xf numFmtId="0" fontId="0" fillId="4" borderId="18" xfId="0" applyFill="1" applyBorder="1" applyAlignment="1">
      <alignment horizontal="center"/>
    </xf>
    <xf numFmtId="10" fontId="0" fillId="4" borderId="18" xfId="0" applyNumberFormat="1" applyFill="1" applyBorder="1" applyAlignment="1">
      <alignment horizontal="center"/>
    </xf>
    <xf numFmtId="10" fontId="0" fillId="4" borderId="18" xfId="0" applyNumberFormat="1" applyFill="1" applyBorder="1"/>
    <xf numFmtId="1" fontId="4" fillId="4" borderId="18" xfId="0" applyNumberFormat="1" applyFont="1" applyFill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1" fontId="2" fillId="3" borderId="7" xfId="0" applyNumberFormat="1" applyFont="1" applyFill="1" applyBorder="1" applyAlignment="1">
      <alignment horizontal="center"/>
    </xf>
    <xf numFmtId="0" fontId="0" fillId="6" borderId="8" xfId="0" applyFill="1" applyBorder="1"/>
    <xf numFmtId="0" fontId="0" fillId="6" borderId="10" xfId="0" applyFill="1" applyBorder="1" applyAlignment="1">
      <alignment horizontal="center"/>
    </xf>
    <xf numFmtId="10" fontId="0" fillId="6" borderId="10" xfId="0" applyNumberFormat="1" applyFill="1" applyBorder="1" applyAlignment="1">
      <alignment horizontal="center"/>
    </xf>
    <xf numFmtId="10" fontId="0" fillId="6" borderId="10" xfId="0" applyNumberFormat="1" applyFill="1" applyBorder="1"/>
    <xf numFmtId="1" fontId="4" fillId="6" borderId="10" xfId="0" applyNumberFormat="1" applyFont="1" applyFill="1" applyBorder="1" applyAlignment="1">
      <alignment horizontal="center"/>
    </xf>
    <xf numFmtId="0" fontId="4" fillId="6" borderId="10" xfId="0" applyFont="1" applyFill="1" applyBorder="1" applyAlignment="1">
      <alignment horizontal="center"/>
    </xf>
    <xf numFmtId="1" fontId="2" fillId="3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7" borderId="12" xfId="0" applyFill="1" applyBorder="1"/>
    <xf numFmtId="0" fontId="0" fillId="7" borderId="19" xfId="0" applyFill="1" applyBorder="1" applyAlignment="1">
      <alignment horizontal="center"/>
    </xf>
    <xf numFmtId="10" fontId="0" fillId="7" borderId="19" xfId="0" applyNumberFormat="1" applyFill="1" applyBorder="1" applyAlignment="1">
      <alignment horizontal="center"/>
    </xf>
    <xf numFmtId="10" fontId="0" fillId="7" borderId="19" xfId="0" applyNumberFormat="1" applyFill="1" applyBorder="1"/>
    <xf numFmtId="1" fontId="4" fillId="7" borderId="19" xfId="0" applyNumberFormat="1" applyFont="1" applyFill="1" applyBorder="1" applyAlignment="1">
      <alignment horizontal="center"/>
    </xf>
    <xf numFmtId="0" fontId="4" fillId="7" borderId="19" xfId="0" applyFont="1" applyFill="1" applyBorder="1" applyAlignment="1">
      <alignment horizontal="center"/>
    </xf>
    <xf numFmtId="1" fontId="3" fillId="5" borderId="13" xfId="0" applyNumberFormat="1" applyFont="1" applyFill="1" applyBorder="1" applyAlignment="1">
      <alignment horizontal="center"/>
    </xf>
    <xf numFmtId="0" fontId="0" fillId="8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9" borderId="0" xfId="0" applyFill="1"/>
    <xf numFmtId="0" fontId="0" fillId="6" borderId="0" xfId="0" applyFill="1"/>
    <xf numFmtId="0" fontId="0" fillId="10" borderId="10" xfId="0" applyFill="1" applyBorder="1"/>
    <xf numFmtId="0" fontId="0" fillId="10" borderId="10" xfId="0" applyFill="1" applyBorder="1" applyAlignment="1">
      <alignment horizontal="center"/>
    </xf>
    <xf numFmtId="10" fontId="0" fillId="10" borderId="11" xfId="0" applyNumberFormat="1" applyFill="1" applyBorder="1" applyAlignment="1">
      <alignment horizontal="center"/>
    </xf>
    <xf numFmtId="10" fontId="0" fillId="10" borderId="1" xfId="0" applyNumberFormat="1" applyFill="1" applyBorder="1"/>
    <xf numFmtId="1" fontId="0" fillId="10" borderId="10" xfId="0" applyNumberFormat="1" applyFill="1" applyBorder="1"/>
    <xf numFmtId="0" fontId="0" fillId="10" borderId="0" xfId="0" applyFill="1"/>
    <xf numFmtId="1" fontId="2" fillId="10" borderId="10" xfId="0" applyNumberFormat="1" applyFont="1" applyFill="1" applyBorder="1"/>
    <xf numFmtId="2" fontId="0" fillId="10" borderId="0" xfId="0" applyNumberFormat="1" applyFill="1"/>
    <xf numFmtId="0" fontId="0" fillId="10" borderId="20" xfId="0" applyFill="1" applyBorder="1"/>
    <xf numFmtId="0" fontId="0" fillId="10" borderId="20" xfId="0" applyFill="1" applyBorder="1" applyAlignment="1">
      <alignment horizontal="center"/>
    </xf>
    <xf numFmtId="10" fontId="0" fillId="10" borderId="21" xfId="0" applyNumberFormat="1" applyFill="1" applyBorder="1" applyAlignment="1">
      <alignment horizontal="center"/>
    </xf>
    <xf numFmtId="1" fontId="0" fillId="10" borderId="20" xfId="0" applyNumberFormat="1" applyFill="1" applyBorder="1"/>
    <xf numFmtId="1" fontId="2" fillId="10" borderId="20" xfId="0" applyNumberFormat="1" applyFont="1" applyFill="1" applyBorder="1"/>
    <xf numFmtId="10" fontId="0" fillId="4" borderId="22" xfId="0" applyNumberFormat="1" applyFill="1" applyBorder="1" applyAlignment="1">
      <alignment horizontal="center"/>
    </xf>
    <xf numFmtId="1" fontId="0" fillId="2" borderId="18" xfId="0" applyNumberFormat="1" applyFill="1" applyBorder="1"/>
    <xf numFmtId="0" fontId="0" fillId="0" borderId="2" xfId="0" applyBorder="1"/>
    <xf numFmtId="1" fontId="2" fillId="3" borderId="18" xfId="0" applyNumberFormat="1" applyFont="1" applyFill="1" applyBorder="1"/>
    <xf numFmtId="2" fontId="0" fillId="0" borderId="3" xfId="0" applyNumberFormat="1" applyBorder="1"/>
    <xf numFmtId="0" fontId="0" fillId="0" borderId="0" xfId="0" applyBorder="1"/>
    <xf numFmtId="2" fontId="0" fillId="0" borderId="23" xfId="0" applyNumberFormat="1" applyBorder="1"/>
    <xf numFmtId="0" fontId="0" fillId="0" borderId="19" xfId="0" applyBorder="1" applyAlignment="1">
      <alignment horizontal="center"/>
    </xf>
    <xf numFmtId="10" fontId="0" fillId="0" borderId="24" xfId="0" applyNumberFormat="1" applyBorder="1" applyAlignment="1">
      <alignment horizontal="center"/>
    </xf>
    <xf numFmtId="1" fontId="0" fillId="2" borderId="19" xfId="0" applyNumberFormat="1" applyFill="1" applyBorder="1"/>
    <xf numFmtId="0" fontId="0" fillId="0" borderId="25" xfId="0" applyBorder="1"/>
    <xf numFmtId="1" fontId="3" fillId="5" borderId="19" xfId="0" applyNumberFormat="1" applyFont="1" applyFill="1" applyBorder="1"/>
    <xf numFmtId="2" fontId="0" fillId="0" borderId="5" xfId="0" applyNumberFormat="1" applyBorder="1"/>
    <xf numFmtId="0" fontId="0" fillId="11" borderId="0" xfId="0" applyFill="1"/>
    <xf numFmtId="0" fontId="0" fillId="12" borderId="0" xfId="0" applyFill="1"/>
    <xf numFmtId="0" fontId="5" fillId="12" borderId="0" xfId="0" applyFont="1" applyFill="1"/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3"/>
  <sheetViews>
    <sheetView topLeftCell="E1" zoomScaleNormal="100" workbookViewId="0">
      <selection activeCell="O24" sqref="O24"/>
    </sheetView>
  </sheetViews>
  <sheetFormatPr defaultRowHeight="14.45" customHeight="1" x14ac:dyDescent="0.25"/>
  <cols>
    <col min="1" max="1" width="11.710937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4.5703125" customWidth="1"/>
    <col min="8" max="8" width="14.42578125" customWidth="1"/>
    <col min="9" max="9" width="12.85546875" customWidth="1"/>
    <col min="10" max="10" width="13.28515625" customWidth="1"/>
    <col min="11" max="11" width="11" customWidth="1"/>
    <col min="12" max="12" width="11.140625" customWidth="1"/>
    <col min="13" max="13" width="11" customWidth="1"/>
    <col min="14" max="14" width="11.7109375" customWidth="1"/>
    <col min="15" max="15" width="10.5703125" customWidth="1"/>
    <col min="16" max="16" width="11.85546875" customWidth="1"/>
    <col min="17" max="17" width="10.7109375" customWidth="1"/>
    <col min="18" max="18" width="11.7109375" customWidth="1"/>
    <col min="19" max="19" width="12.5703125" customWidth="1"/>
    <col min="20" max="20" width="10.7109375" customWidth="1"/>
    <col min="21" max="21" width="14.140625" customWidth="1"/>
    <col min="22" max="22" width="17.28515625" customWidth="1"/>
    <col min="23" max="23" width="13" customWidth="1"/>
    <col min="24" max="24" width="12.140625" customWidth="1"/>
    <col min="25" max="25" width="13.42578125" customWidth="1"/>
    <col min="26" max="26" width="10.28515625" customWidth="1"/>
    <col min="27" max="27" width="13.5703125" customWidth="1"/>
    <col min="28" max="28" width="10.140625" customWidth="1"/>
    <col min="29" max="29" width="11.140625" customWidth="1"/>
    <col min="30" max="30" width="13.28515625" customWidth="1"/>
    <col min="31" max="31" width="16.85546875" customWidth="1"/>
    <col min="32" max="32" width="10.28515625" customWidth="1"/>
    <col min="33" max="33" width="10.42578125" customWidth="1"/>
    <col min="34" max="34" width="13.28515625" customWidth="1"/>
    <col min="35" max="35" width="10.5703125" customWidth="1"/>
    <col min="36" max="36" width="12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2.5703125" customWidth="1"/>
    <col min="56" max="56" width="12" customWidth="1"/>
    <col min="57" max="57" width="10.7109375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39" ht="14.45" customHeight="1" x14ac:dyDescent="0.25">
      <c r="A1">
        <f>COUNTIF(A4:A37,"&lt;&gt;")</f>
        <v>1</v>
      </c>
      <c r="B1">
        <f>COUNTIF(B4:B37,"&lt;&gt;")</f>
        <v>2</v>
      </c>
      <c r="C1">
        <f t="shared" ref="C1:AM1" si="0">COUNTIF(C4:C37,"&lt;&gt;")</f>
        <v>2</v>
      </c>
      <c r="D1">
        <f t="shared" si="0"/>
        <v>2</v>
      </c>
      <c r="E1">
        <f t="shared" si="0"/>
        <v>3</v>
      </c>
      <c r="F1">
        <f t="shared" si="0"/>
        <v>2</v>
      </c>
      <c r="G1">
        <f t="shared" si="0"/>
        <v>2</v>
      </c>
      <c r="H1">
        <f t="shared" si="0"/>
        <v>2</v>
      </c>
      <c r="I1">
        <f t="shared" si="0"/>
        <v>2</v>
      </c>
      <c r="J1">
        <f t="shared" si="0"/>
        <v>2</v>
      </c>
      <c r="K1">
        <f t="shared" si="0"/>
        <v>2</v>
      </c>
      <c r="L1">
        <f t="shared" si="0"/>
        <v>2</v>
      </c>
      <c r="M1">
        <f t="shared" si="0"/>
        <v>2</v>
      </c>
      <c r="N1">
        <f t="shared" si="0"/>
        <v>2</v>
      </c>
      <c r="O1">
        <f t="shared" si="0"/>
        <v>2</v>
      </c>
      <c r="P1">
        <f t="shared" si="0"/>
        <v>1</v>
      </c>
      <c r="Q1">
        <f t="shared" si="0"/>
        <v>2</v>
      </c>
      <c r="R1">
        <f t="shared" si="0"/>
        <v>2</v>
      </c>
      <c r="S1">
        <f t="shared" si="0"/>
        <v>2</v>
      </c>
      <c r="T1">
        <f t="shared" si="0"/>
        <v>2</v>
      </c>
      <c r="U1">
        <f t="shared" si="0"/>
        <v>3</v>
      </c>
      <c r="V1">
        <f t="shared" si="0"/>
        <v>2</v>
      </c>
      <c r="W1">
        <f t="shared" si="0"/>
        <v>2</v>
      </c>
      <c r="X1">
        <f t="shared" si="0"/>
        <v>2</v>
      </c>
      <c r="Y1">
        <f t="shared" si="0"/>
        <v>3</v>
      </c>
      <c r="Z1">
        <f t="shared" si="0"/>
        <v>2</v>
      </c>
      <c r="AA1">
        <f t="shared" si="0"/>
        <v>1</v>
      </c>
      <c r="AB1">
        <f t="shared" si="0"/>
        <v>2</v>
      </c>
      <c r="AC1">
        <f t="shared" si="0"/>
        <v>2</v>
      </c>
      <c r="AD1">
        <f t="shared" si="0"/>
        <v>2</v>
      </c>
      <c r="AE1">
        <f t="shared" si="0"/>
        <v>2</v>
      </c>
      <c r="AF1">
        <f t="shared" si="0"/>
        <v>1</v>
      </c>
      <c r="AG1">
        <f t="shared" si="0"/>
        <v>2</v>
      </c>
      <c r="AH1">
        <f t="shared" si="0"/>
        <v>3</v>
      </c>
      <c r="AI1">
        <f t="shared" si="0"/>
        <v>2</v>
      </c>
      <c r="AJ1">
        <f t="shared" si="0"/>
        <v>2</v>
      </c>
      <c r="AK1">
        <f t="shared" si="0"/>
        <v>1</v>
      </c>
      <c r="AL1">
        <f t="shared" si="0"/>
        <v>2</v>
      </c>
      <c r="AM1">
        <f t="shared" si="0"/>
        <v>1</v>
      </c>
    </row>
    <row r="2" spans="1:39" ht="14.45" customHeight="1" x14ac:dyDescent="0.25">
      <c r="A2" s="51" t="s">
        <v>87</v>
      </c>
      <c r="B2" s="51" t="s">
        <v>87</v>
      </c>
      <c r="C2" s="51" t="s">
        <v>87</v>
      </c>
      <c r="D2" s="51" t="s">
        <v>87</v>
      </c>
      <c r="E2" s="51" t="s">
        <v>87</v>
      </c>
      <c r="F2" s="51" t="s">
        <v>87</v>
      </c>
      <c r="G2" s="51" t="s">
        <v>87</v>
      </c>
      <c r="H2" s="52" t="s">
        <v>77</v>
      </c>
      <c r="I2" s="52" t="s">
        <v>77</v>
      </c>
      <c r="J2" s="52" t="s">
        <v>77</v>
      </c>
      <c r="K2" s="52" t="s">
        <v>77</v>
      </c>
      <c r="L2" s="52" t="s">
        <v>77</v>
      </c>
      <c r="M2" s="52" t="s">
        <v>77</v>
      </c>
      <c r="N2" s="52" t="s">
        <v>77</v>
      </c>
      <c r="O2" s="52" t="s">
        <v>77</v>
      </c>
      <c r="P2" s="52" t="s">
        <v>77</v>
      </c>
      <c r="Q2" s="52" t="s">
        <v>77</v>
      </c>
      <c r="R2" s="52" t="s">
        <v>77</v>
      </c>
      <c r="S2" s="52" t="s">
        <v>77</v>
      </c>
      <c r="T2" s="52" t="s">
        <v>77</v>
      </c>
      <c r="U2" s="52" t="s">
        <v>77</v>
      </c>
      <c r="V2" s="52" t="s">
        <v>77</v>
      </c>
      <c r="W2" s="52" t="s">
        <v>77</v>
      </c>
      <c r="X2" s="45" t="s">
        <v>78</v>
      </c>
      <c r="Y2" s="45" t="s">
        <v>78</v>
      </c>
      <c r="Z2" s="45" t="s">
        <v>78</v>
      </c>
      <c r="AA2" s="45" t="s">
        <v>78</v>
      </c>
      <c r="AB2" s="45" t="s">
        <v>78</v>
      </c>
      <c r="AC2" s="45" t="s">
        <v>78</v>
      </c>
      <c r="AD2" s="45" t="s">
        <v>78</v>
      </c>
      <c r="AE2" s="45" t="s">
        <v>78</v>
      </c>
      <c r="AF2" s="45" t="s">
        <v>78</v>
      </c>
      <c r="AG2" s="45" t="s">
        <v>78</v>
      </c>
      <c r="AH2" s="45" t="s">
        <v>78</v>
      </c>
      <c r="AI2" s="45" t="s">
        <v>78</v>
      </c>
      <c r="AJ2" s="45" t="s">
        <v>78</v>
      </c>
      <c r="AK2" s="45" t="s">
        <v>78</v>
      </c>
      <c r="AL2" s="45" t="s">
        <v>78</v>
      </c>
      <c r="AM2" s="45" t="s">
        <v>78</v>
      </c>
    </row>
    <row r="3" spans="1:39" ht="15" customHeight="1" x14ac:dyDescent="0.25">
      <c r="A3" t="s">
        <v>24</v>
      </c>
      <c r="B3" t="s">
        <v>33</v>
      </c>
      <c r="C3" t="s">
        <v>28</v>
      </c>
      <c r="D3" t="s">
        <v>29</v>
      </c>
      <c r="E3" t="s">
        <v>26</v>
      </c>
      <c r="F3" t="s">
        <v>30</v>
      </c>
      <c r="G3" t="s">
        <v>35</v>
      </c>
      <c r="H3" t="s">
        <v>0</v>
      </c>
      <c r="I3" t="s">
        <v>1</v>
      </c>
      <c r="J3" t="s">
        <v>2</v>
      </c>
      <c r="K3" t="s">
        <v>3</v>
      </c>
      <c r="L3" t="s">
        <v>4</v>
      </c>
      <c r="M3" t="s">
        <v>5</v>
      </c>
      <c r="N3" t="s">
        <v>6</v>
      </c>
      <c r="O3" t="s">
        <v>7</v>
      </c>
      <c r="P3" t="s">
        <v>22</v>
      </c>
      <c r="Q3" t="s">
        <v>21</v>
      </c>
      <c r="R3" t="s">
        <v>20</v>
      </c>
      <c r="S3" t="s">
        <v>14</v>
      </c>
      <c r="T3" t="s">
        <v>17</v>
      </c>
      <c r="U3" t="s">
        <v>18</v>
      </c>
      <c r="V3" t="s">
        <v>23</v>
      </c>
      <c r="W3" t="s">
        <v>13</v>
      </c>
      <c r="X3" t="s">
        <v>8</v>
      </c>
      <c r="Y3" t="s">
        <v>9</v>
      </c>
      <c r="Z3" t="s">
        <v>10</v>
      </c>
      <c r="AA3" t="s">
        <v>11</v>
      </c>
      <c r="AB3" t="s">
        <v>12</v>
      </c>
      <c r="AC3" t="s">
        <v>15</v>
      </c>
      <c r="AD3" t="s">
        <v>16</v>
      </c>
      <c r="AE3" t="s">
        <v>19</v>
      </c>
      <c r="AF3" t="s">
        <v>25</v>
      </c>
      <c r="AG3" t="s">
        <v>27</v>
      </c>
      <c r="AH3" t="s">
        <v>31</v>
      </c>
      <c r="AI3" t="s">
        <v>32</v>
      </c>
      <c r="AJ3" t="s">
        <v>34</v>
      </c>
      <c r="AK3" t="s">
        <v>36</v>
      </c>
      <c r="AL3" t="s">
        <v>37</v>
      </c>
      <c r="AM3" t="s">
        <v>38</v>
      </c>
    </row>
    <row r="4" spans="1:39" ht="15" customHeight="1" x14ac:dyDescent="0.25">
      <c r="A4" t="s">
        <v>41</v>
      </c>
      <c r="B4" t="s">
        <v>42</v>
      </c>
      <c r="C4" t="s">
        <v>42</v>
      </c>
      <c r="D4" t="s">
        <v>42</v>
      </c>
      <c r="E4" t="s">
        <v>41</v>
      </c>
      <c r="F4" t="s">
        <v>42</v>
      </c>
      <c r="G4" t="s">
        <v>42</v>
      </c>
      <c r="H4" t="s">
        <v>39</v>
      </c>
      <c r="I4" t="s">
        <v>39</v>
      </c>
      <c r="J4" t="s">
        <v>39</v>
      </c>
      <c r="K4" t="s">
        <v>39</v>
      </c>
      <c r="L4" t="s">
        <v>39</v>
      </c>
      <c r="M4" t="s">
        <v>39</v>
      </c>
      <c r="N4" t="s">
        <v>39</v>
      </c>
      <c r="O4" t="s">
        <v>39</v>
      </c>
      <c r="P4" t="s">
        <v>40</v>
      </c>
      <c r="Q4" t="s">
        <v>40</v>
      </c>
      <c r="R4" t="s">
        <v>40</v>
      </c>
      <c r="S4" t="s">
        <v>39</v>
      </c>
      <c r="T4" t="s">
        <v>39</v>
      </c>
      <c r="U4" t="s">
        <v>39</v>
      </c>
      <c r="V4" t="s">
        <v>40</v>
      </c>
      <c r="W4" t="s">
        <v>39</v>
      </c>
      <c r="X4" t="s">
        <v>39</v>
      </c>
      <c r="Y4" t="s">
        <v>39</v>
      </c>
      <c r="Z4" t="s">
        <v>39</v>
      </c>
      <c r="AA4" t="s">
        <v>39</v>
      </c>
      <c r="AB4" t="s">
        <v>39</v>
      </c>
      <c r="AC4" t="s">
        <v>39</v>
      </c>
      <c r="AD4" t="s">
        <v>39</v>
      </c>
      <c r="AE4" t="s">
        <v>39</v>
      </c>
      <c r="AF4" t="s">
        <v>41</v>
      </c>
      <c r="AG4" t="s">
        <v>41</v>
      </c>
      <c r="AH4" t="s">
        <v>42</v>
      </c>
      <c r="AI4" t="s">
        <v>42</v>
      </c>
      <c r="AJ4" t="s">
        <v>42</v>
      </c>
      <c r="AK4" t="s">
        <v>43</v>
      </c>
      <c r="AL4" t="s">
        <v>43</v>
      </c>
      <c r="AM4" t="s">
        <v>43</v>
      </c>
    </row>
    <row r="5" spans="1:39" ht="15" customHeight="1" x14ac:dyDescent="0.25">
      <c r="B5" t="s">
        <v>43</v>
      </c>
      <c r="C5" t="s">
        <v>43</v>
      </c>
      <c r="D5" t="s">
        <v>43</v>
      </c>
      <c r="E5" t="s">
        <v>42</v>
      </c>
      <c r="F5" t="s">
        <v>43</v>
      </c>
      <c r="G5" t="s">
        <v>43</v>
      </c>
      <c r="H5" t="s">
        <v>42</v>
      </c>
      <c r="I5" t="s">
        <v>43</v>
      </c>
      <c r="J5" t="s">
        <v>42</v>
      </c>
      <c r="K5" t="s">
        <v>43</v>
      </c>
      <c r="L5" t="s">
        <v>42</v>
      </c>
      <c r="M5" t="s">
        <v>42</v>
      </c>
      <c r="N5" t="s">
        <v>42</v>
      </c>
      <c r="O5" t="s">
        <v>43</v>
      </c>
      <c r="Q5" t="s">
        <v>42</v>
      </c>
      <c r="R5" t="s">
        <v>43</v>
      </c>
      <c r="S5" t="s">
        <v>42</v>
      </c>
      <c r="T5" t="s">
        <v>43</v>
      </c>
      <c r="U5" t="s">
        <v>42</v>
      </c>
      <c r="V5" t="s">
        <v>42</v>
      </c>
      <c r="W5" t="s">
        <v>42</v>
      </c>
      <c r="X5" t="s">
        <v>42</v>
      </c>
      <c r="Y5" t="s">
        <v>42</v>
      </c>
      <c r="Z5" t="s">
        <v>44</v>
      </c>
      <c r="AB5" t="s">
        <v>43</v>
      </c>
      <c r="AC5" t="s">
        <v>42</v>
      </c>
      <c r="AD5" t="s">
        <v>42</v>
      </c>
      <c r="AE5" t="s">
        <v>42</v>
      </c>
      <c r="AG5" t="s">
        <v>43</v>
      </c>
      <c r="AH5" t="s">
        <v>43</v>
      </c>
      <c r="AI5" t="s">
        <v>43</v>
      </c>
      <c r="AJ5" t="s">
        <v>43</v>
      </c>
      <c r="AL5" t="s">
        <v>44</v>
      </c>
    </row>
    <row r="6" spans="1:39" ht="15" customHeight="1" x14ac:dyDescent="0.25">
      <c r="E6" t="s">
        <v>43</v>
      </c>
      <c r="U6" t="s">
        <v>43</v>
      </c>
      <c r="Y6" t="s">
        <v>44</v>
      </c>
      <c r="AH6" t="s">
        <v>44</v>
      </c>
    </row>
    <row r="7" spans="1:39" ht="15" customHeight="1" x14ac:dyDescent="0.25"/>
    <row r="8" spans="1:39" ht="15" customHeight="1" x14ac:dyDescent="0.25"/>
    <row r="9" spans="1:39" ht="15" customHeight="1" x14ac:dyDescent="0.25"/>
    <row r="10" spans="1:39" ht="15" customHeight="1" x14ac:dyDescent="0.25"/>
    <row r="11" spans="1:39" ht="15" customHeight="1" x14ac:dyDescent="0.25"/>
    <row r="12" spans="1:39" ht="15" customHeight="1" x14ac:dyDescent="0.25"/>
    <row r="13" spans="1:39" ht="15" customHeight="1" x14ac:dyDescent="0.25"/>
    <row r="14" spans="1:39" ht="15" customHeight="1" x14ac:dyDescent="0.25"/>
    <row r="15" spans="1:39" ht="15" customHeight="1" x14ac:dyDescent="0.25"/>
    <row r="16" spans="1:39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BR4:XFD32">
    <cfRule type="expression" dxfId="0" priority="6">
      <formula>BR4 &gt; "2025-03-05"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42"/>
  <sheetViews>
    <sheetView zoomScaleNormal="100" workbookViewId="0">
      <selection activeCell="CN15" sqref="CN15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spans="1:6" ht="15" customHeight="1" x14ac:dyDescent="0.25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</row>
    <row r="4" spans="1:6" ht="15" customHeight="1" x14ac:dyDescent="0.25">
      <c r="A4" t="s">
        <v>0</v>
      </c>
      <c r="B4" t="s">
        <v>20</v>
      </c>
      <c r="C4" t="s">
        <v>24</v>
      </c>
      <c r="D4" t="s">
        <v>0</v>
      </c>
      <c r="E4" t="s">
        <v>36</v>
      </c>
      <c r="F4" t="s">
        <v>37</v>
      </c>
    </row>
    <row r="5" spans="1:6" ht="15" customHeight="1" x14ac:dyDescent="0.25">
      <c r="A5" t="s">
        <v>1</v>
      </c>
      <c r="B5" t="s">
        <v>21</v>
      </c>
      <c r="C5" t="s">
        <v>25</v>
      </c>
      <c r="D5" t="s">
        <v>4</v>
      </c>
      <c r="E5" t="s">
        <v>34</v>
      </c>
      <c r="F5" t="s">
        <v>9</v>
      </c>
    </row>
    <row r="6" spans="1:6" ht="15" customHeight="1" x14ac:dyDescent="0.25">
      <c r="A6" t="s">
        <v>2</v>
      </c>
      <c r="B6" t="s">
        <v>22</v>
      </c>
      <c r="C6" t="s">
        <v>26</v>
      </c>
      <c r="D6" t="s">
        <v>6</v>
      </c>
      <c r="E6" t="s">
        <v>31</v>
      </c>
      <c r="F6" t="s">
        <v>10</v>
      </c>
    </row>
    <row r="7" spans="1:6" ht="15" customHeight="1" x14ac:dyDescent="0.25">
      <c r="A7" t="s">
        <v>3</v>
      </c>
      <c r="B7" t="s">
        <v>23</v>
      </c>
      <c r="C7" t="s">
        <v>27</v>
      </c>
      <c r="D7" t="s">
        <v>14</v>
      </c>
      <c r="E7" t="s">
        <v>27</v>
      </c>
      <c r="F7" t="s">
        <v>31</v>
      </c>
    </row>
    <row r="8" spans="1:6" ht="15" customHeight="1" x14ac:dyDescent="0.25">
      <c r="A8" t="s">
        <v>4</v>
      </c>
      <c r="D8" t="s">
        <v>28</v>
      </c>
      <c r="E8" t="s">
        <v>37</v>
      </c>
    </row>
    <row r="9" spans="1:6" ht="15" customHeight="1" x14ac:dyDescent="0.25">
      <c r="A9" t="s">
        <v>5</v>
      </c>
      <c r="D9" t="s">
        <v>29</v>
      </c>
      <c r="E9" t="s">
        <v>12</v>
      </c>
    </row>
    <row r="10" spans="1:6" ht="15" customHeight="1" x14ac:dyDescent="0.25">
      <c r="A10" t="s">
        <v>6</v>
      </c>
      <c r="D10" t="s">
        <v>30</v>
      </c>
      <c r="E10" t="s">
        <v>38</v>
      </c>
    </row>
    <row r="11" spans="1:6" ht="15" customHeight="1" x14ac:dyDescent="0.25">
      <c r="A11" t="s">
        <v>7</v>
      </c>
      <c r="D11" t="s">
        <v>26</v>
      </c>
      <c r="E11" t="s">
        <v>32</v>
      </c>
    </row>
    <row r="12" spans="1:6" ht="15" customHeight="1" x14ac:dyDescent="0.25">
      <c r="A12" t="s">
        <v>8</v>
      </c>
      <c r="D12" t="s">
        <v>5</v>
      </c>
      <c r="E12" t="s">
        <v>29</v>
      </c>
    </row>
    <row r="13" spans="1:6" ht="15" customHeight="1" x14ac:dyDescent="0.25">
      <c r="A13" t="s">
        <v>9</v>
      </c>
      <c r="D13" t="s">
        <v>9</v>
      </c>
      <c r="E13" t="s">
        <v>33</v>
      </c>
    </row>
    <row r="14" spans="1:6" ht="15" customHeight="1" x14ac:dyDescent="0.25">
      <c r="A14" t="s">
        <v>10</v>
      </c>
      <c r="D14" t="s">
        <v>2</v>
      </c>
      <c r="E14" t="s">
        <v>35</v>
      </c>
    </row>
    <row r="15" spans="1:6" ht="15" customHeight="1" x14ac:dyDescent="0.25">
      <c r="A15" t="s">
        <v>11</v>
      </c>
      <c r="D15" t="s">
        <v>31</v>
      </c>
      <c r="E15" t="s">
        <v>26</v>
      </c>
    </row>
    <row r="16" spans="1:6" ht="15" customHeight="1" x14ac:dyDescent="0.25">
      <c r="A16" t="s">
        <v>12</v>
      </c>
      <c r="D16" t="s">
        <v>16</v>
      </c>
      <c r="E16" t="s">
        <v>28</v>
      </c>
    </row>
    <row r="17" spans="1:5" ht="15" customHeight="1" x14ac:dyDescent="0.25">
      <c r="A17" t="s">
        <v>13</v>
      </c>
      <c r="D17" t="s">
        <v>8</v>
      </c>
      <c r="E17" t="s">
        <v>17</v>
      </c>
    </row>
    <row r="18" spans="1:5" ht="15" customHeight="1" x14ac:dyDescent="0.25">
      <c r="A18" t="s">
        <v>14</v>
      </c>
      <c r="D18" t="s">
        <v>19</v>
      </c>
      <c r="E18" t="s">
        <v>3</v>
      </c>
    </row>
    <row r="19" spans="1:5" ht="15" customHeight="1" x14ac:dyDescent="0.25">
      <c r="A19" t="s">
        <v>15</v>
      </c>
      <c r="D19" t="s">
        <v>32</v>
      </c>
      <c r="E19" t="s">
        <v>30</v>
      </c>
    </row>
    <row r="20" spans="1:5" ht="15" customHeight="1" x14ac:dyDescent="0.25">
      <c r="A20" t="s">
        <v>16</v>
      </c>
      <c r="D20" t="s">
        <v>13</v>
      </c>
      <c r="E20" t="s">
        <v>20</v>
      </c>
    </row>
    <row r="21" spans="1:5" ht="15" customHeight="1" x14ac:dyDescent="0.25">
      <c r="A21" t="s">
        <v>17</v>
      </c>
      <c r="D21" t="s">
        <v>21</v>
      </c>
      <c r="E21" t="s">
        <v>1</v>
      </c>
    </row>
    <row r="22" spans="1:5" ht="15" customHeight="1" x14ac:dyDescent="0.25">
      <c r="A22" t="s">
        <v>18</v>
      </c>
      <c r="D22" t="s">
        <v>18</v>
      </c>
      <c r="E22" t="s">
        <v>7</v>
      </c>
    </row>
    <row r="23" spans="1:5" ht="15" customHeight="1" x14ac:dyDescent="0.25">
      <c r="A23" t="s">
        <v>19</v>
      </c>
      <c r="D23" t="s">
        <v>23</v>
      </c>
      <c r="E23" t="s">
        <v>18</v>
      </c>
    </row>
    <row r="24" spans="1:5" ht="15" customHeight="1" x14ac:dyDescent="0.25">
      <c r="D24" t="s">
        <v>33</v>
      </c>
    </row>
    <row r="25" spans="1:5" ht="15" customHeight="1" x14ac:dyDescent="0.25">
      <c r="D25" t="s">
        <v>34</v>
      </c>
    </row>
    <row r="26" spans="1:5" ht="15" customHeight="1" x14ac:dyDescent="0.25">
      <c r="D26" t="s">
        <v>35</v>
      </c>
    </row>
    <row r="27" spans="1:5" ht="15" customHeight="1" x14ac:dyDescent="0.25">
      <c r="D27" t="s">
        <v>15</v>
      </c>
    </row>
    <row r="28" spans="1:5" ht="15" customHeight="1" x14ac:dyDescent="0.25"/>
    <row r="29" spans="1:5" ht="15" customHeight="1" x14ac:dyDescent="0.25"/>
    <row r="30" spans="1:5" ht="15" customHeight="1" x14ac:dyDescent="0.25"/>
    <row r="31" spans="1:5" ht="15" customHeight="1" x14ac:dyDescent="0.25"/>
    <row r="32" spans="1:5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14"/>
  <sheetViews>
    <sheetView zoomScale="96" zoomScaleNormal="96" workbookViewId="0">
      <selection activeCell="CW26" sqref="CW26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spans="1:6" ht="15" customHeight="1" x14ac:dyDescent="0.25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</row>
    <row r="4" spans="1:6" ht="15" customHeight="1" x14ac:dyDescent="0.25">
      <c r="A4" t="s">
        <v>45</v>
      </c>
      <c r="B4" t="s">
        <v>46</v>
      </c>
      <c r="C4" t="s">
        <v>47</v>
      </c>
      <c r="D4" t="s">
        <v>48</v>
      </c>
      <c r="E4" t="s">
        <v>49</v>
      </c>
      <c r="F4" t="s">
        <v>50</v>
      </c>
    </row>
    <row r="5" spans="1:6" ht="15" customHeight="1" x14ac:dyDescent="0.25">
      <c r="A5" t="s">
        <v>51</v>
      </c>
      <c r="D5" t="s">
        <v>52</v>
      </c>
      <c r="E5" t="s">
        <v>53</v>
      </c>
    </row>
    <row r="6" spans="1:6" ht="15" customHeight="1" x14ac:dyDescent="0.25">
      <c r="A6" t="s">
        <v>54</v>
      </c>
      <c r="D6" t="s">
        <v>55</v>
      </c>
      <c r="E6" t="s">
        <v>56</v>
      </c>
    </row>
    <row r="7" spans="1:6" ht="15" customHeight="1" x14ac:dyDescent="0.25">
      <c r="A7" t="s">
        <v>57</v>
      </c>
      <c r="D7" t="s">
        <v>58</v>
      </c>
      <c r="E7" t="s">
        <v>59</v>
      </c>
    </row>
    <row r="8" spans="1:6" ht="15" customHeight="1" x14ac:dyDescent="0.25">
      <c r="A8" t="s">
        <v>60</v>
      </c>
      <c r="D8" t="s">
        <v>61</v>
      </c>
      <c r="E8" t="s">
        <v>62</v>
      </c>
    </row>
    <row r="9" spans="1:6" ht="15" customHeight="1" x14ac:dyDescent="0.25">
      <c r="D9" t="s">
        <v>63</v>
      </c>
    </row>
    <row r="10" spans="1:6" ht="15" customHeight="1" x14ac:dyDescent="0.25"/>
    <row r="11" spans="1:6" ht="15" customHeight="1" x14ac:dyDescent="0.25"/>
    <row r="12" spans="1:6" ht="15" customHeight="1" x14ac:dyDescent="0.25"/>
    <row r="13" spans="1:6" ht="15" customHeight="1" x14ac:dyDescent="0.25"/>
    <row r="14" spans="1:6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C4" sqref="C4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46" t="s">
        <v>64</v>
      </c>
      <c r="B1" s="47"/>
      <c r="C1" s="1">
        <f>COUNTIF(AHL_DAT_STRING!4:18,"&lt;&gt;")</f>
        <v>19</v>
      </c>
    </row>
    <row r="2" spans="1:12" ht="15.75" customHeight="1" x14ac:dyDescent="0.25">
      <c r="A2" s="48" t="s">
        <v>65</v>
      </c>
      <c r="B2" s="49"/>
      <c r="C2" s="2">
        <f>C1*4</f>
        <v>76</v>
      </c>
    </row>
    <row r="3" spans="1:12" x14ac:dyDescent="0.25">
      <c r="A3" s="3" t="s">
        <v>65</v>
      </c>
      <c r="B3" s="4">
        <f>COUNTIF(AHL!4:50, "&lt;&gt;")</f>
        <v>76</v>
      </c>
      <c r="E3" s="50" t="s">
        <v>66</v>
      </c>
      <c r="F3" s="49"/>
      <c r="G3" s="49"/>
      <c r="H3" s="49"/>
    </row>
    <row r="4" spans="1:12" ht="15.75" customHeight="1" x14ac:dyDescent="0.25">
      <c r="A4" s="5" t="s">
        <v>67</v>
      </c>
      <c r="B4" s="6">
        <f>SUMIF(AHL!2:2,"sl",AHL!1:1)</f>
        <v>14</v>
      </c>
      <c r="C4">
        <f>AHL!X1</f>
        <v>2</v>
      </c>
      <c r="E4" t="s">
        <v>68</v>
      </c>
      <c r="F4" t="s">
        <v>69</v>
      </c>
      <c r="G4" t="s">
        <v>70</v>
      </c>
      <c r="H4" t="s">
        <v>71</v>
      </c>
      <c r="I4" t="s">
        <v>72</v>
      </c>
      <c r="J4" t="s">
        <v>73</v>
      </c>
      <c r="K4" t="s">
        <v>74</v>
      </c>
      <c r="L4" t="s">
        <v>75</v>
      </c>
    </row>
    <row r="5" spans="1:12" ht="15.75" customHeight="1" x14ac:dyDescent="0.25">
      <c r="A5" s="5" t="s">
        <v>76</v>
      </c>
      <c r="B5" s="6">
        <f>SUMIF(AHL!2:2,"hr",AHL!1:1)</f>
        <v>0</v>
      </c>
      <c r="E5" s="53" t="s">
        <v>67</v>
      </c>
      <c r="F5" s="54">
        <v>1</v>
      </c>
      <c r="G5" s="55">
        <f>F5/13</f>
        <v>7.6923076923076927E-2</v>
      </c>
      <c r="H5" s="56">
        <f>B4/B3</f>
        <v>0.18421052631578946</v>
      </c>
      <c r="I5" s="57">
        <f>C2*G5</f>
        <v>5.8461538461538467</v>
      </c>
      <c r="J5" s="58">
        <f>B4</f>
        <v>14</v>
      </c>
      <c r="K5" s="59">
        <f>J5-I5</f>
        <v>8.1538461538461533</v>
      </c>
      <c r="L5" s="60">
        <f>K5/4</f>
        <v>2.0384615384615383</v>
      </c>
    </row>
    <row r="6" spans="1:12" ht="15.75" customHeight="1" thickBot="1" x14ac:dyDescent="0.3">
      <c r="A6" s="5" t="s">
        <v>77</v>
      </c>
      <c r="B6" s="6">
        <f>SUMIF(AHL!2:2,"it",AHL!1:1)</f>
        <v>32</v>
      </c>
      <c r="C6">
        <f>AHL!V1</f>
        <v>2</v>
      </c>
      <c r="E6" s="61" t="s">
        <v>76</v>
      </c>
      <c r="F6" s="62">
        <v>1</v>
      </c>
      <c r="G6" s="63">
        <f>F6/13</f>
        <v>7.6923076923076927E-2</v>
      </c>
      <c r="H6" s="56">
        <f>B5/B3</f>
        <v>0</v>
      </c>
      <c r="I6" s="64">
        <f>C2*G6</f>
        <v>5.8461538461538467</v>
      </c>
      <c r="J6" s="58">
        <f>B5</f>
        <v>0</v>
      </c>
      <c r="K6" s="65">
        <f>J6-I6</f>
        <v>-5.8461538461538467</v>
      </c>
      <c r="L6" s="60">
        <f t="shared" ref="L6" si="0">K6/4</f>
        <v>-1.4615384615384617</v>
      </c>
    </row>
    <row r="7" spans="1:12" ht="15.75" customHeight="1" thickBot="1" x14ac:dyDescent="0.3">
      <c r="A7" s="10" t="s">
        <v>78</v>
      </c>
      <c r="B7" s="11">
        <f>SUMIF(AHL!2:2,"au",AHL!1:1)</f>
        <v>30</v>
      </c>
      <c r="C7">
        <f>SUM(AHL!AL1,AHL!AU1,AHL!BA1,AHL!BE1,AHL!BF1,AHL!BG1,AHL!BH1,AHL!BD1)</f>
        <v>2</v>
      </c>
      <c r="E7" s="23" t="s">
        <v>79</v>
      </c>
      <c r="F7" s="24">
        <v>2</v>
      </c>
      <c r="G7" s="66">
        <f t="shared" ref="G7:G9" si="1">F7/13</f>
        <v>0.15384615384615385</v>
      </c>
      <c r="H7" s="12">
        <f>(B5+B4)/B3</f>
        <v>0.18421052631578946</v>
      </c>
      <c r="I7" s="67">
        <f>C2*G7</f>
        <v>11.692307692307693</v>
      </c>
      <c r="J7" s="68">
        <f>B4+B5</f>
        <v>14</v>
      </c>
      <c r="K7" s="69">
        <f>J7-I7</f>
        <v>2.3076923076923066</v>
      </c>
      <c r="L7" s="70">
        <f>K7/4</f>
        <v>0.57692307692307665</v>
      </c>
    </row>
    <row r="8" spans="1:12" ht="15.75" customHeight="1" thickBot="1" x14ac:dyDescent="0.3">
      <c r="A8" s="13" t="s">
        <v>80</v>
      </c>
      <c r="C8">
        <f>SUM(C4:C7)</f>
        <v>6</v>
      </c>
      <c r="E8" s="5" t="s">
        <v>81</v>
      </c>
      <c r="F8" s="15">
        <v>7</v>
      </c>
      <c r="G8" s="16">
        <f t="shared" si="1"/>
        <v>0.53846153846153844</v>
      </c>
      <c r="H8" s="17">
        <f>B6/B3</f>
        <v>0.42105263157894735</v>
      </c>
      <c r="I8" s="7">
        <f>C2*G8</f>
        <v>40.92307692307692</v>
      </c>
      <c r="J8" s="71">
        <f>B6</f>
        <v>32</v>
      </c>
      <c r="K8" s="8">
        <f>J8-I8</f>
        <v>-8.9230769230769198</v>
      </c>
      <c r="L8" s="72">
        <f>K8/4</f>
        <v>-2.2307692307692299</v>
      </c>
    </row>
    <row r="9" spans="1:12" ht="15.75" customHeight="1" thickBot="1" x14ac:dyDescent="0.3">
      <c r="A9" t="s">
        <v>82</v>
      </c>
      <c r="B9">
        <f>SUM(B4:B7)</f>
        <v>76</v>
      </c>
      <c r="E9" s="10" t="s">
        <v>83</v>
      </c>
      <c r="F9" s="73">
        <v>4</v>
      </c>
      <c r="G9" s="74">
        <f t="shared" si="1"/>
        <v>0.30769230769230771</v>
      </c>
      <c r="H9" s="17">
        <f>B7/B3</f>
        <v>0.39473684210526316</v>
      </c>
      <c r="I9" s="75">
        <f>C2*G9</f>
        <v>23.384615384615387</v>
      </c>
      <c r="J9" s="76">
        <f>B7</f>
        <v>30</v>
      </c>
      <c r="K9" s="77">
        <f>J9-I9</f>
        <v>6.6153846153846132</v>
      </c>
      <c r="L9" s="78">
        <f>K9/4</f>
        <v>1.6538461538461533</v>
      </c>
    </row>
    <row r="11" spans="1:12" x14ac:dyDescent="0.25">
      <c r="H11" s="18" t="s">
        <v>84</v>
      </c>
      <c r="I11" s="19">
        <f>SUM(I7:I9)</f>
        <v>76</v>
      </c>
      <c r="J11" s="14">
        <f>SUM(J7:J9)</f>
        <v>76</v>
      </c>
      <c r="K11" s="20">
        <f>SUM(K7:K9)</f>
        <v>0</v>
      </c>
      <c r="L11" s="21">
        <f>SUM(L7:L9)</f>
        <v>0</v>
      </c>
    </row>
    <row r="16" spans="1:12" ht="15.75" customHeight="1" x14ac:dyDescent="0.25">
      <c r="E16" t="s">
        <v>85</v>
      </c>
      <c r="F16" t="s">
        <v>69</v>
      </c>
      <c r="G16" t="s">
        <v>86</v>
      </c>
      <c r="H16" t="s">
        <v>71</v>
      </c>
      <c r="I16" s="22" t="s">
        <v>72</v>
      </c>
      <c r="J16" s="22" t="s">
        <v>73</v>
      </c>
      <c r="K16" t="s">
        <v>74</v>
      </c>
      <c r="L16" t="s">
        <v>75</v>
      </c>
    </row>
    <row r="17" spans="5:17" x14ac:dyDescent="0.25">
      <c r="E17" s="23" t="s">
        <v>79</v>
      </c>
      <c r="F17" s="24">
        <v>2</v>
      </c>
      <c r="G17" s="25">
        <f t="shared" ref="G17:G19" si="2">F17/13</f>
        <v>0.15384615384615385</v>
      </c>
      <c r="H17" s="26">
        <f>(B5+B4)/B3</f>
        <v>0.18421052631578946</v>
      </c>
      <c r="I17" s="27">
        <f>B3*G17</f>
        <v>11.692307692307693</v>
      </c>
      <c r="J17" s="28">
        <f>B5+B4</f>
        <v>14</v>
      </c>
      <c r="K17" s="29">
        <f>J17-I17</f>
        <v>2.3076923076923066</v>
      </c>
      <c r="L17" s="9">
        <f>K17/4</f>
        <v>0.57692307692307665</v>
      </c>
    </row>
    <row r="18" spans="5:17" x14ac:dyDescent="0.25">
      <c r="E18" s="30" t="s">
        <v>81</v>
      </c>
      <c r="F18" s="31">
        <v>7</v>
      </c>
      <c r="G18" s="32">
        <f t="shared" si="2"/>
        <v>0.53846153846153844</v>
      </c>
      <c r="H18" s="33">
        <f>B6/B3</f>
        <v>0.42105263157894735</v>
      </c>
      <c r="I18" s="34">
        <f>B3*G18</f>
        <v>40.92307692307692</v>
      </c>
      <c r="J18" s="35">
        <f>B6</f>
        <v>32</v>
      </c>
      <c r="K18" s="36">
        <f>J18-I18</f>
        <v>-8.9230769230769198</v>
      </c>
      <c r="L18" s="9">
        <f>K18/4</f>
        <v>-2.2307692307692299</v>
      </c>
      <c r="Q18" s="37"/>
    </row>
    <row r="19" spans="5:17" ht="15.75" customHeight="1" x14ac:dyDescent="0.25">
      <c r="E19" s="38" t="s">
        <v>83</v>
      </c>
      <c r="F19" s="39">
        <v>4</v>
      </c>
      <c r="G19" s="40">
        <f t="shared" si="2"/>
        <v>0.30769230769230771</v>
      </c>
      <c r="H19" s="41">
        <f>B7/B3</f>
        <v>0.39473684210526316</v>
      </c>
      <c r="I19" s="42">
        <f>B3*G19</f>
        <v>23.384615384615387</v>
      </c>
      <c r="J19" s="43">
        <f>B7</f>
        <v>30</v>
      </c>
      <c r="K19" s="44">
        <f>J19-I19</f>
        <v>6.6153846153846132</v>
      </c>
      <c r="L19" s="9">
        <f>K19/4</f>
        <v>1.6538461538461533</v>
      </c>
    </row>
    <row r="21" spans="5:17" ht="46.5" customHeight="1" x14ac:dyDescent="0.25"/>
    <row r="22" spans="5:17" ht="15.75" customHeight="1" x14ac:dyDescent="0.25"/>
    <row r="24" spans="5:17" ht="15.75" customHeight="1" x14ac:dyDescent="0.25"/>
    <row r="25" spans="5:17" ht="16.5" customHeight="1" x14ac:dyDescent="0.25"/>
    <row r="28" spans="5:17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94FDA-D266-4AA1-88B4-750275C2CCF8}">
  <dimension ref="A1:G12"/>
  <sheetViews>
    <sheetView tabSelected="1" workbookViewId="0">
      <selection activeCell="G3" sqref="G3"/>
    </sheetView>
  </sheetViews>
  <sheetFormatPr defaultRowHeight="15" x14ac:dyDescent="0.25"/>
  <cols>
    <col min="1" max="1" width="102.42578125" customWidth="1"/>
  </cols>
  <sheetData>
    <row r="1" spans="1:7" x14ac:dyDescent="0.25">
      <c r="A1" s="45" t="s">
        <v>91</v>
      </c>
      <c r="D1" s="49" t="s">
        <v>99</v>
      </c>
      <c r="E1" s="49"/>
      <c r="F1" s="49"/>
      <c r="G1" s="49"/>
    </row>
    <row r="2" spans="1:7" x14ac:dyDescent="0.25">
      <c r="A2" s="45" t="s">
        <v>92</v>
      </c>
    </row>
    <row r="3" spans="1:7" x14ac:dyDescent="0.25">
      <c r="A3" s="79" t="s">
        <v>88</v>
      </c>
    </row>
    <row r="4" spans="1:7" x14ac:dyDescent="0.25">
      <c r="A4" s="79" t="s">
        <v>93</v>
      </c>
    </row>
    <row r="5" spans="1:7" x14ac:dyDescent="0.25">
      <c r="A5" s="79" t="s">
        <v>90</v>
      </c>
    </row>
    <row r="6" spans="1:7" x14ac:dyDescent="0.25">
      <c r="A6" s="79" t="s">
        <v>95</v>
      </c>
    </row>
    <row r="7" spans="1:7" x14ac:dyDescent="0.25">
      <c r="A7" s="79" t="s">
        <v>96</v>
      </c>
    </row>
    <row r="8" spans="1:7" x14ac:dyDescent="0.25">
      <c r="A8" s="79" t="s">
        <v>97</v>
      </c>
    </row>
    <row r="9" spans="1:7" x14ac:dyDescent="0.25">
      <c r="A9" s="80" t="s">
        <v>98</v>
      </c>
    </row>
    <row r="10" spans="1:7" x14ac:dyDescent="0.25">
      <c r="A10" s="80" t="s">
        <v>94</v>
      </c>
    </row>
    <row r="11" spans="1:7" x14ac:dyDescent="0.25">
      <c r="A11" s="80" t="s">
        <v>89</v>
      </c>
    </row>
    <row r="12" spans="1:7" x14ac:dyDescent="0.25">
      <c r="A12" s="81" t="s">
        <v>100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2025-09-12T08:50:28Z</dcterms:modified>
</cp:coreProperties>
</file>