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filterPrivacy="1"/>
  <xr:revisionPtr revIDLastSave="0" documentId="13_ncr:1_{474E0E70-E1C1-4A3F-AAE4-6A7ED705071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G24" i="5"/>
  <c r="G23" i="5"/>
  <c r="G19" i="5"/>
  <c r="G18" i="5"/>
  <c r="G17" i="5"/>
  <c r="G9" i="5"/>
  <c r="G8" i="5"/>
  <c r="G7" i="5"/>
  <c r="G6" i="5"/>
  <c r="G5" i="5"/>
  <c r="B3" i="5"/>
  <c r="C1" i="5"/>
  <c r="C2" i="5" s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C7" i="5" s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C6" i="5" s="1"/>
  <c r="W1" i="1"/>
  <c r="V1" i="1"/>
  <c r="U1" i="1"/>
  <c r="T1" i="1"/>
  <c r="S1" i="1"/>
  <c r="R1" i="1"/>
  <c r="Q1" i="1"/>
  <c r="P1" i="1"/>
  <c r="O1" i="1"/>
  <c r="N1" i="1"/>
  <c r="B6" i="5" s="1"/>
  <c r="M1" i="1"/>
  <c r="L1" i="1"/>
  <c r="K1" i="1"/>
  <c r="B5" i="5" s="1"/>
  <c r="J1" i="1"/>
  <c r="I1" i="1"/>
  <c r="C4" i="5" s="1"/>
  <c r="H1" i="1"/>
  <c r="G1" i="1"/>
  <c r="F1" i="1"/>
  <c r="E1" i="1"/>
  <c r="D1" i="1"/>
  <c r="C1" i="1"/>
  <c r="B1" i="1"/>
  <c r="A1" i="1"/>
  <c r="B4" i="5" s="1"/>
  <c r="J5" i="5" l="1"/>
  <c r="J23" i="5"/>
  <c r="H5" i="5"/>
  <c r="J7" i="5"/>
  <c r="J6" i="5"/>
  <c r="H6" i="5"/>
  <c r="J17" i="5"/>
  <c r="K17" i="5" s="1"/>
  <c r="L17" i="5" s="1"/>
  <c r="H17" i="5"/>
  <c r="H7" i="5"/>
  <c r="J8" i="5"/>
  <c r="J18" i="5"/>
  <c r="H8" i="5"/>
  <c r="H18" i="5"/>
  <c r="J24" i="5"/>
  <c r="I5" i="5"/>
  <c r="I8" i="5"/>
  <c r="I6" i="5"/>
  <c r="I9" i="5"/>
  <c r="I7" i="5"/>
  <c r="I11" i="5" s="1"/>
  <c r="C8" i="5"/>
  <c r="I17" i="5"/>
  <c r="I19" i="5"/>
  <c r="I18" i="5"/>
  <c r="B7" i="5"/>
  <c r="J25" i="5" l="1"/>
  <c r="H25" i="5"/>
  <c r="J9" i="5"/>
  <c r="K9" i="5" s="1"/>
  <c r="L9" i="5" s="1"/>
  <c r="J19" i="5"/>
  <c r="K19" i="5" s="1"/>
  <c r="L19" i="5" s="1"/>
  <c r="H9" i="5"/>
  <c r="H19" i="5"/>
  <c r="J26" i="5"/>
  <c r="J28" i="5" s="1"/>
  <c r="B9" i="5"/>
  <c r="H26" i="5" s="1"/>
  <c r="J11" i="5"/>
  <c r="K7" i="5"/>
  <c r="K18" i="5"/>
  <c r="L18" i="5" s="1"/>
  <c r="H23" i="5"/>
  <c r="K8" i="5"/>
  <c r="L8" i="5" s="1"/>
  <c r="K6" i="5"/>
  <c r="L6" i="5" s="1"/>
  <c r="I25" i="5"/>
  <c r="K5" i="5"/>
  <c r="L5" i="5" s="1"/>
  <c r="I24" i="5"/>
  <c r="K24" i="5" s="1"/>
  <c r="H24" i="5"/>
  <c r="I23" i="5"/>
  <c r="K23" i="5" s="1"/>
  <c r="K11" i="5" l="1"/>
  <c r="L7" i="5"/>
  <c r="L11" i="5" s="1"/>
  <c r="K25" i="5"/>
  <c r="K28" i="5" s="1"/>
</calcChain>
</file>

<file path=xl/sharedStrings.xml><?xml version="1.0" encoding="utf-8"?>
<sst xmlns="http://schemas.openxmlformats.org/spreadsheetml/2006/main" count="2379" uniqueCount="394">
  <si>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</si>
  <si>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</si>
  <si>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</si>
  <si>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</si>
  <si>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</si>
  <si>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</si>
  <si>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</si>
  <si>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</si>
  <si>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</si>
  <si>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</si>
  <si>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</si>
  <si>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</si>
  <si>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</si>
  <si>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</si>
  <si>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</si>
  <si>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</si>
  <si>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</si>
  <si>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</si>
  <si>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</si>
  <si>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</si>
  <si>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</si>
  <si>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</si>
  <si>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</si>
  <si>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</si>
  <si>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</si>
  <si>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</si>
  <si>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</si>
  <si>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</si>
  <si>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</si>
  <si>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</si>
  <si>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</si>
  <si>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</si>
  <si>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</si>
  <si>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</si>
  <si>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</si>
  <si>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</si>
  <si>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</si>
  <si>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</si>
  <si>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</si>
  <si>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</si>
  <si>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</si>
  <si>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</si>
  <si>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</si>
  <si>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</si>
  <si>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</si>
  <si>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</si>
  <si>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</si>
  <si>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</si>
  <si>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</si>
  <si>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</si>
  <si>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</si>
  <si>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</si>
  <si>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</si>
  <si>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</si>
  <si>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</si>
  <si>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</si>
  <si>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</si>
  <si>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</si>
  <si>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</si>
  <si>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</si>
  <si>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</si>
  <si>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</si>
  <si>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</si>
  <si>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</si>
  <si>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</si>
  <si>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</si>
  <si>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</si>
  <si>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</si>
  <si>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</si>
  <si>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</si>
  <si>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</si>
  <si>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</si>
  <si>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</si>
  <si>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</si>
  <si>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</si>
  <si>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</si>
  <si>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</si>
  <si>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</si>
  <si>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</si>
  <si>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</si>
  <si>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</si>
  <si>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</si>
  <si>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</si>
  <si>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</si>
  <si>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</si>
  <si>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</si>
  <si>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</si>
  <si>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</si>
  <si>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</si>
  <si>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</si>
  <si>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</si>
  <si>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</si>
  <si>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</si>
  <si>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</si>
  <si>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</si>
  <si>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</si>
  <si>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</si>
  <si>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</si>
  <si>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</si>
  <si>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</si>
  <si>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</si>
  <si>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</si>
  <si>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</si>
  <si>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</si>
  <si>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</si>
  <si>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</si>
  <si>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</si>
  <si>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</si>
  <si>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</si>
  <si>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</si>
  <si>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</si>
  <si>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</si>
  <si>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</si>
  <si>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</si>
  <si>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</si>
  <si>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</si>
  <si>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</si>
  <si>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</si>
  <si>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</si>
  <si>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</si>
  <si>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</si>
  <si>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</si>
  <si>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2025-01-18</t>
  </si>
  <si>
    <t>2024-11-19</t>
  </si>
  <si>
    <t>2025-01-21</t>
  </si>
  <si>
    <t>2025-01-11</t>
  </si>
  <si>
    <t>2025-01-16</t>
  </si>
  <si>
    <t>2024-12-01</t>
  </si>
  <si>
    <t>2025-01-14</t>
  </si>
  <si>
    <t>2025-01-25</t>
  </si>
  <si>
    <t>2024-11-24</t>
  </si>
  <si>
    <t>2025-01-05</t>
  </si>
  <si>
    <t>2025-01-23</t>
  </si>
  <si>
    <t>2025-01-04</t>
  </si>
  <si>
    <t>2025-01-09</t>
  </si>
  <si>
    <t>2024-12-04</t>
  </si>
  <si>
    <t>2025-01-03</t>
  </si>
  <si>
    <t>2025-01-28</t>
  </si>
  <si>
    <t>2025-01-26</t>
  </si>
  <si>
    <t>2025-01-22</t>
  </si>
  <si>
    <t>2025-01-12</t>
  </si>
  <si>
    <t>2025-01-08</t>
  </si>
  <si>
    <t>2024-12-27</t>
  </si>
  <si>
    <t>2025-01-29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</si>
  <si>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</si>
  <si>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</si>
  <si>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</si>
  <si>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</si>
  <si>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</si>
  <si>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</si>
  <si>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</si>
  <si>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</si>
  <si>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</si>
  <si>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</si>
  <si>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</si>
  <si>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</si>
  <si>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</si>
  <si>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</si>
  <si>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</si>
  <si>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</si>
  <si>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</si>
  <si>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</si>
  <si>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</si>
  <si>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</si>
  <si>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</si>
  <si>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</si>
  <si>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</si>
  <si>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</si>
  <si>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</si>
  <si>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</si>
  <si>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</si>
  <si>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</si>
  <si>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</si>
  <si>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</si>
  <si>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</si>
  <si>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</si>
  <si>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</si>
  <si>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</si>
  <si>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</si>
  <si>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</si>
  <si>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</si>
  <si>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</si>
  <si>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</si>
  <si>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</si>
  <si>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</si>
  <si>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</si>
  <si>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</si>
  <si>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</si>
  <si>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</si>
  <si>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</si>
  <si>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</si>
  <si>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</si>
  <si>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</si>
  <si>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</si>
  <si>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</si>
  <si>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</si>
  <si>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</si>
  <si>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</si>
  <si>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</si>
  <si>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</si>
  <si>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</si>
  <si>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Ritten;BajtMi;MeixnerSe;MarkizetiGr;WendnerMa</t>
  </si>
  <si>
    <t>Eishalle Jesenice;BrockAd;WenuschHe;WeissAl;WendnerMa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</si>
  <si>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</si>
  <si>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</si>
  <si>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</si>
  <si>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</si>
  <si>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</si>
  <si>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</si>
  <si>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</si>
  <si>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Neumarkt;BajtMi;EggerTh;ArlicMa;BrondiPa</t>
  </si>
  <si>
    <t>Eishalle Sissek Zibel;LebenJa;WidmannFl;JavornikBl;TelesklavFa</t>
  </si>
  <si>
    <t>Eishalle Jesenice;LazzeriAl;LehnerMo;GrisentiLu;MattheyPh</t>
  </si>
  <si>
    <t>Eishalle Dornbirn;SoraperraSi;StefenelliFe;FecchioFe;JägerRi</t>
  </si>
  <si>
    <t>Eishalle Celje;BrockAd;SnojTa;MarkizetiGr;WendnerMa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</si>
  <si>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</si>
  <si>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</si>
  <si>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</si>
  <si>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</si>
  <si>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</si>
  <si>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</si>
  <si>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</si>
  <si>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</si>
  <si>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</si>
  <si>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</si>
  <si>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</si>
  <si>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</si>
  <si>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</si>
  <si>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</si>
  <si>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</si>
  <si>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</si>
  <si>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</si>
  <si>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</si>
  <si>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</si>
  <si>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</si>
  <si>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</si>
  <si>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</si>
  <si>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</si>
  <si>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</si>
  <si>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</si>
  <si>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</si>
  <si>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</si>
  <si>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</si>
  <si>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</si>
  <si>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</si>
  <si>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</si>
  <si>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</si>
  <si>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</si>
  <si>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</si>
  <si>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</si>
  <si>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</si>
  <si>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</si>
  <si>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Meran;BulovecMi;SoraperraSi;ArlicMa;CristeliMa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</si>
  <si>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</si>
  <si>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</si>
  <si>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</si>
  <si>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Würtharena Neumarkt;BenvegnuAn;PirasAn;AbeltinoSi;PaceJa</t>
  </si>
  <si>
    <t>Sportpark Kitzbühel;KainbergerJu;RuetzMa;AbeltinoSi;RinkerDa</t>
  </si>
  <si>
    <t>Eisarena Salzburg;HlavatyAl;VoicanCh;PreiserJu;WeissAl</t>
  </si>
  <si>
    <t>Eisarena Salzburg;HolzerTo;SpiegelSe;DivisDo;StrimitzerDa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</si>
  <si>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</si>
  <si>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</si>
  <si>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</si>
  <si>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</si>
  <si>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</si>
  <si>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</si>
  <si>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</si>
  <si>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</si>
  <si>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</si>
  <si>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</si>
  <si>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</si>
  <si>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</si>
  <si>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</si>
  <si>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</si>
  <si>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</si>
  <si>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</si>
  <si>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</si>
  <si>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</si>
  <si>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</si>
  <si>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</si>
  <si>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</si>
  <si>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</si>
  <si>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</si>
  <si>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</si>
  <si>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</si>
  <si>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</si>
  <si>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</si>
  <si>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</si>
  <si>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</si>
  <si>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</si>
  <si>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</si>
  <si>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</si>
  <si>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Dornbirn;MoidlDa;SpiegelSe;MattheyPh;MoidlMa</t>
  </si>
  <si>
    <t>Eishalle Ritten;EggerTh;VirtaTu;FormaioniTh;ScalzeriAl</t>
  </si>
  <si>
    <t>Eishalle Sissek Zibel;HlavatyAl;MetzingerFi;KnezRo;LegatKo</t>
  </si>
  <si>
    <t>Eishalle Sterzing;PinieOm;StefenelliFe;BrondiPa;GrisentiLu</t>
  </si>
  <si>
    <t>Eishalle Sissek Zibel;LesniakBo;WidmannFl;JavornikBl;WuchererGe</t>
  </si>
  <si>
    <t>KELIT Arena Zell am See;KainbergerJu;OrelSt;SeewaldJe;WuchererGe</t>
  </si>
  <si>
    <t>KELIT Arena Zell am See;Huber rRe;RuetzMa;EislCh;ZacherlPa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</si>
  <si>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</si>
  <si>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</si>
  <si>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</si>
  <si>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</si>
  <si>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</si>
  <si>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</si>
  <si>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</si>
  <si>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</si>
  <si>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</si>
  <si>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</si>
  <si>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</si>
  <si>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</si>
  <si>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</si>
  <si>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</si>
  <si>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</si>
  <si>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</si>
  <si>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</si>
  <si>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</si>
  <si>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</si>
  <si>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</si>
  <si>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</si>
  <si>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</si>
  <si>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</si>
  <si>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</si>
  <si>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</si>
  <si>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</si>
  <si>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</si>
  <si>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</si>
  <si>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</si>
  <si>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</si>
  <si>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Zell am See;HlavatyAl;LebenJa;PreiserJu;TelesklavFa</t>
  </si>
  <si>
    <t>Eishalle Gröden;RivisFe;SoraperraSi;AbeltinoSi;PaceJa</t>
  </si>
  <si>
    <t>Sportpark Kitzbühel;KainbergerJu;VoicanCh;PreiserJu;WeissAl</t>
  </si>
  <si>
    <t>Eishalle Meran;GiacomozziFe;RivisFe;FecchioFe;RivisAn</t>
  </si>
  <si>
    <t>Eishalle Sterzing;LegaSi;MoschenAn;CusinFe;RivisAn</t>
  </si>
  <si>
    <t>Eishalle Gröden;BulovecMi;VirtaTu;JeramFi;PaceJa</t>
  </si>
  <si>
    <t>Eishalle Sterzing;MoschenAn;PirasAn;AbeltinoSi;FormaioniTh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</si>
  <si>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</si>
  <si>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</si>
  <si>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</si>
  <si>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</si>
  <si>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</si>
  <si>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</si>
  <si>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</si>
  <si>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</si>
  <si>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</si>
  <si>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</si>
  <si>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</si>
  <si>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</si>
  <si>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</si>
  <si>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</si>
  <si>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</si>
  <si>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</si>
  <si>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</si>
  <si>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</si>
  <si>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</si>
  <si>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</si>
  <si>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</si>
  <si>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</si>
  <si>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Sportpark Kitzbühel;LazzeriAl;WidmannFl;SeewaldJe;WuchererGe</t>
  </si>
  <si>
    <t>Eishalle Meran;LebenJa;LesniakBo;FecchioFe;JeramFi</t>
  </si>
  <si>
    <t>Eishalle Gröden;HolzerTo;LegaSi;CusinFe;DivisDo</t>
  </si>
  <si>
    <t>Eishalle Cortina;BenvegnuAn;PinieOm;CristeliMa;RivisAn</t>
  </si>
  <si>
    <t>Eishalle Meran;GiacomozziFe;RivisFe;FleischmannLu;RivisAn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</si>
  <si>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</si>
  <si>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</si>
  <si>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</si>
  <si>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</si>
  <si>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</si>
  <si>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</si>
  <si>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</si>
  <si>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Eishalle Cortina;LazzeriAl;OrelSt;CristeliMa;TelesklavFa</t>
  </si>
  <si>
    <t>Eishalle Cortina;Huber rRe;VirtaTu;FormaioniTh;ScalzeriAl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</si>
  <si>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</si>
  <si>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</si>
  <si>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</si>
  <si>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</si>
  <si>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</si>
  <si>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</si>
  <si>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</si>
  <si>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</si>
  <si>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</si>
  <si>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</si>
  <si>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</si>
  <si>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</si>
  <si>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</si>
  <si>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</si>
  <si>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</si>
  <si>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</si>
  <si>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</si>
  <si>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</si>
  <si>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% games per team</t>
  </si>
  <si>
    <t>odštete delegacije traineesov</t>
  </si>
  <si>
    <t>trainnees</t>
  </si>
  <si>
    <t>till 30.1.2025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</si>
</sst>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3"/>
  <sheetViews>
    <sheetView tabSelected="1" zoomScaleNormal="100" workbookViewId="0">
      <selection activeCell="I29" sqref="I29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9" ht="14.45" customHeight="1" x14ac:dyDescent="0.25">
      <c r="A1">
        <f>COUNTIF(A4:A69,"&lt;&gt;")</f>
        <v>15</v>
      </c>
      <c r="B1">
        <f>COUNTIF(B4:B67,"&lt;&gt;")</f>
        <v>15</v>
      </c>
      <c r="C1">
        <f>COUNTIF(C4:C68,"&lt;&gt;")</f>
        <v>14</v>
      </c>
      <c r="D1">
        <f>COUNTIF(D4:D67,"&lt;&gt;")</f>
        <v>16</v>
      </c>
      <c r="E1">
        <f>COUNTIF(E4:E67,"&lt;&gt;")</f>
        <v>17</v>
      </c>
      <c r="F1">
        <f>COUNTIF(F4:F69,"&lt;&gt;")</f>
        <v>13</v>
      </c>
      <c r="G1">
        <f>COUNTIF(G4:G68,"&lt;&gt;")</f>
        <v>4</v>
      </c>
      <c r="H1">
        <f>COUNTIF(H4:H68,"&lt;&gt;")</f>
        <v>13</v>
      </c>
      <c r="I1">
        <f>COUNTIF(I4:I69,"&lt;&gt;")</f>
        <v>14</v>
      </c>
      <c r="J1">
        <f>COUNTIF(J4:J68,"&lt;&gt;")</f>
        <v>11</v>
      </c>
      <c r="K1">
        <f>COUNTIF(K4:K70,"&lt;&gt;")</f>
        <v>13</v>
      </c>
      <c r="L1">
        <f>COUNTIF(L4:L69,"&lt;&gt;")</f>
        <v>14</v>
      </c>
      <c r="M1">
        <f>COUNTIF(M4:M70,"&lt;&gt;")</f>
        <v>1</v>
      </c>
      <c r="N1">
        <f>COUNTIF(N4:N67,"&lt;&gt;")</f>
        <v>15</v>
      </c>
      <c r="O1">
        <f>COUNTIF(O4:O67,"&lt;&gt;")</f>
        <v>16</v>
      </c>
      <c r="P1">
        <f t="shared" ref="P1:BF1" si="0">COUNTIF(P4:P70,"&lt;&gt;")</f>
        <v>18</v>
      </c>
      <c r="Q1">
        <f>COUNTIF(Q4:Q67,"&lt;&gt;")</f>
        <v>17</v>
      </c>
      <c r="R1">
        <f>COUNTIF(R4:R64,"&lt;&gt;")</f>
        <v>19</v>
      </c>
      <c r="S1">
        <f>COUNTIF(S4:S69,"&lt;&gt;")</f>
        <v>20</v>
      </c>
      <c r="T1">
        <f>COUNTIF(T4:T68,"&lt;&gt;")</f>
        <v>16</v>
      </c>
      <c r="U1">
        <f>COUNTIF(U4:U69,"&lt;&gt;")</f>
        <v>20</v>
      </c>
      <c r="V1">
        <f>COUNTIF(V4:V67,"&lt;&gt;")</f>
        <v>18</v>
      </c>
      <c r="W1">
        <f>COUNTIF(W4:W69,"&lt;&gt;")</f>
        <v>18</v>
      </c>
      <c r="X1">
        <f>COUNTIF(X4:X68,"&lt;&gt;")</f>
        <v>5</v>
      </c>
      <c r="Y1">
        <f>COUNTIF(Y4:Y68,"&lt;&gt;")</f>
        <v>9</v>
      </c>
      <c r="Z1">
        <f t="shared" si="0"/>
        <v>16</v>
      </c>
      <c r="AA1">
        <f>COUNTIF(AA4:AA65,"&lt;&gt;")</f>
        <v>15</v>
      </c>
      <c r="AB1">
        <f>COUNTIF(AB4:AB67,"&lt;&gt;")</f>
        <v>15</v>
      </c>
      <c r="AC1">
        <f>COUNTIF(AC4:AC69,"&lt;&gt;")</f>
        <v>17</v>
      </c>
      <c r="AD1">
        <f>COUNTIF(AD4:AD68,"&lt;&gt;")</f>
        <v>13</v>
      </c>
      <c r="AE1">
        <f>COUNTIF(AE4:AE67,"&lt;&gt;")</f>
        <v>13</v>
      </c>
      <c r="AF1">
        <f>COUNTIF(AF4:AF63,"&lt;&gt;")</f>
        <v>14</v>
      </c>
      <c r="AG1">
        <f>COUNTIF(AG4:AG66,"&lt;&gt;")</f>
        <v>13</v>
      </c>
      <c r="AH1">
        <f>COUNTIF(AH4:AH67,"&lt;&gt;")</f>
        <v>14</v>
      </c>
      <c r="AI1">
        <f>COUNTIF(AI4:AI66,"&lt;&gt;")</f>
        <v>9</v>
      </c>
      <c r="AJ1">
        <f>COUNTIF(AJ4:AJ62,"&lt;&gt;")</f>
        <v>12</v>
      </c>
      <c r="AK1">
        <f>COUNTIF(AK4:AK65,"&lt;&gt;")</f>
        <v>17</v>
      </c>
      <c r="AL1">
        <f>COUNTIF(AL4:AL65,"&lt;&gt;")</f>
        <v>12</v>
      </c>
      <c r="AM1">
        <f>COUNTIF(AM4:AM66,"&lt;&gt;")</f>
        <v>16</v>
      </c>
      <c r="AN1">
        <f>COUNTIF(AN4:AN64,"&lt;&gt;")</f>
        <v>18</v>
      </c>
      <c r="AO1">
        <f>COUNTIF(AO4:AO64,"&lt;&gt;")</f>
        <v>15</v>
      </c>
      <c r="AP1">
        <f>COUNTIF(AP4:AP67,"&lt;&gt;")</f>
        <v>15</v>
      </c>
      <c r="AQ1">
        <f>COUNTIF(AQ4:AQ68,"&lt;&gt;")</f>
        <v>13</v>
      </c>
      <c r="AR1">
        <f>COUNTIF(AR4:AR61,"&lt;&gt;")</f>
        <v>19</v>
      </c>
      <c r="AS1">
        <f>COUNTIF(AS4:AS69,"&lt;&gt;")</f>
        <v>13</v>
      </c>
      <c r="AT1">
        <f>COUNTIF(AT4:AT67,"&lt;&gt;")</f>
        <v>19</v>
      </c>
      <c r="AU1">
        <f>COUNTIF(AU4:AU69,"&lt;&gt;")</f>
        <v>14</v>
      </c>
      <c r="AV1">
        <f>COUNTIF(AV4:AV65,"&lt;&gt;")</f>
        <v>14</v>
      </c>
      <c r="AW1">
        <f>COUNTIF(AW4:AW65,"&lt;&gt;")</f>
        <v>17</v>
      </c>
      <c r="AX1">
        <f>COUNTIF(AX4:AX67,"&lt;&gt;")</f>
        <v>16</v>
      </c>
      <c r="AY1">
        <f>COUNTIF(AY4:AY63,"&lt;&gt;")</f>
        <v>14</v>
      </c>
      <c r="AZ1">
        <f>COUNTIF(AZ4:AZ65,"&lt;&gt;")</f>
        <v>17</v>
      </c>
      <c r="BA1">
        <f t="shared" si="0"/>
        <v>19</v>
      </c>
      <c r="BB1">
        <f>COUNTIF(BB4:BB69,"&lt;&gt;")</f>
        <v>18</v>
      </c>
      <c r="BC1">
        <f>COUNTIF(BC4:BC68,"&lt;&gt;")</f>
        <v>13</v>
      </c>
      <c r="BD1">
        <f>COUNTIF(BD4:BD69,"&lt;&gt;")</f>
        <v>13</v>
      </c>
      <c r="BE1">
        <f>COUNTIF(BE4:BE67,"&lt;&gt;")</f>
        <v>8</v>
      </c>
      <c r="BF1">
        <f t="shared" si="0"/>
        <v>8</v>
      </c>
      <c r="BG1">
        <f>COUNTIF(BG4:BG66,"&lt;&gt;")</f>
        <v>7</v>
      </c>
      <c r="BH1">
        <f>COUNTIF(BH4:BH69,"&lt;&gt;")</f>
        <v>7</v>
      </c>
      <c r="BI1">
        <f t="shared" ref="BI1:BQ1" si="1">COUNTIF(BI4:BI70,"&lt;&gt;")</f>
        <v>1</v>
      </c>
      <c r="BJ1">
        <f>COUNTIF(BJ4:BJ68,"&lt;&gt;")</f>
        <v>10</v>
      </c>
      <c r="BK1">
        <f>COUNTIF(BK4:BK65,"&lt;&gt;")</f>
        <v>13</v>
      </c>
      <c r="BL1">
        <f t="shared" si="1"/>
        <v>1</v>
      </c>
      <c r="BM1">
        <f t="shared" ref="BM1" si="2">COUNTIF(BM4:BM69,"&lt;&gt;")</f>
        <v>12</v>
      </c>
      <c r="BN1">
        <f>COUNTIF(BN4:BN68,"&lt;&gt;")</f>
        <v>11</v>
      </c>
      <c r="BO1">
        <f t="shared" si="1"/>
        <v>8</v>
      </c>
      <c r="BP1">
        <f t="shared" si="1"/>
        <v>9</v>
      </c>
      <c r="BQ1">
        <f t="shared" si="1"/>
        <v>3</v>
      </c>
    </row>
    <row r="2" spans="1:69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spans="1:69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spans="1:69" ht="15" customHeight="1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spans="1:69" ht="15" customHeight="1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spans="1:69" ht="15" customHeight="1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spans="1:69" ht="15" customHeight="1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spans="1:69" ht="15" customHeight="1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spans="1:69" ht="15" customHeight="1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124</v>
      </c>
      <c r="BF9" t="s">
        <v>94</v>
      </c>
      <c r="BG9" t="s">
        <v>125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spans="1:69" ht="15" customHeight="1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126</v>
      </c>
      <c r="AJ10" t="s">
        <v>111</v>
      </c>
      <c r="AK10" t="s">
        <v>127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128</v>
      </c>
      <c r="BF10" t="s">
        <v>122</v>
      </c>
      <c r="BG10" t="s">
        <v>129</v>
      </c>
      <c r="BH10" t="s">
        <v>122</v>
      </c>
      <c r="BJ10" t="s">
        <v>104</v>
      </c>
      <c r="BK10" t="s">
        <v>107</v>
      </c>
      <c r="BM10" t="s">
        <v>103</v>
      </c>
      <c r="BN10" t="s">
        <v>112</v>
      </c>
      <c r="BO10" t="s">
        <v>122</v>
      </c>
      <c r="BP10" t="s">
        <v>124</v>
      </c>
    </row>
    <row r="11" spans="1:69" ht="15" customHeight="1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130</v>
      </c>
      <c r="I11" t="s">
        <v>92</v>
      </c>
      <c r="J11" t="s">
        <v>131</v>
      </c>
      <c r="K11" t="s">
        <v>114</v>
      </c>
      <c r="L11" t="s">
        <v>127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130</v>
      </c>
      <c r="W11" t="s">
        <v>93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130</v>
      </c>
      <c r="AF11" t="s">
        <v>94</v>
      </c>
      <c r="AG11" t="s">
        <v>102</v>
      </c>
      <c r="AH11" t="s">
        <v>100</v>
      </c>
      <c r="AI11" t="s">
        <v>132</v>
      </c>
      <c r="AJ11" t="s">
        <v>133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134</v>
      </c>
      <c r="BJ11" t="s">
        <v>122</v>
      </c>
      <c r="BK11" t="s">
        <v>104</v>
      </c>
      <c r="BM11" t="s">
        <v>121</v>
      </c>
      <c r="BN11" t="s">
        <v>121</v>
      </c>
      <c r="BO11" t="s">
        <v>134</v>
      </c>
      <c r="BP11" t="s">
        <v>134</v>
      </c>
    </row>
    <row r="12" spans="1:69" ht="15" customHeight="1" x14ac:dyDescent="0.25">
      <c r="A12" t="s">
        <v>95</v>
      </c>
      <c r="B12" t="s">
        <v>104</v>
      </c>
      <c r="C12" t="s">
        <v>117</v>
      </c>
      <c r="D12" t="s">
        <v>130</v>
      </c>
      <c r="E12" t="s">
        <v>95</v>
      </c>
      <c r="F12" t="s">
        <v>121</v>
      </c>
      <c r="H12" t="s">
        <v>92</v>
      </c>
      <c r="I12" t="s">
        <v>112</v>
      </c>
      <c r="J12" t="s">
        <v>126</v>
      </c>
      <c r="K12" t="s">
        <v>127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125</v>
      </c>
      <c r="AJ12" t="s">
        <v>92</v>
      </c>
      <c r="AK12" t="s">
        <v>95</v>
      </c>
      <c r="AL12" t="s">
        <v>125</v>
      </c>
      <c r="AM12" t="s">
        <v>102</v>
      </c>
      <c r="AN12" t="s">
        <v>102</v>
      </c>
      <c r="AO12" t="s">
        <v>135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136</v>
      </c>
      <c r="AV12" t="s">
        <v>109</v>
      </c>
      <c r="AW12" t="s">
        <v>92</v>
      </c>
      <c r="AX12" t="s">
        <v>135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J12" t="s">
        <v>134</v>
      </c>
      <c r="BK12" t="s">
        <v>120</v>
      </c>
      <c r="BM12" t="s">
        <v>120</v>
      </c>
      <c r="BN12" t="s">
        <v>114</v>
      </c>
      <c r="BP12" t="s">
        <v>137</v>
      </c>
    </row>
    <row r="13" spans="1:69" ht="15" customHeight="1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132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J13" t="s">
        <v>134</v>
      </c>
      <c r="AK13" t="s">
        <v>109</v>
      </c>
      <c r="AL13" t="s">
        <v>132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133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124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J13" t="s">
        <v>137</v>
      </c>
      <c r="BK13" t="s">
        <v>103</v>
      </c>
      <c r="BM13" t="s">
        <v>122</v>
      </c>
      <c r="BN13" t="s">
        <v>134</v>
      </c>
    </row>
    <row r="14" spans="1:69" ht="15" customHeight="1" x14ac:dyDescent="0.25">
      <c r="A14" t="s">
        <v>112</v>
      </c>
      <c r="B14" t="s">
        <v>112</v>
      </c>
      <c r="C14" t="s">
        <v>131</v>
      </c>
      <c r="D14" t="s">
        <v>117</v>
      </c>
      <c r="E14" t="s">
        <v>114</v>
      </c>
      <c r="F14" t="s">
        <v>122</v>
      </c>
      <c r="H14" t="s">
        <v>120</v>
      </c>
      <c r="I14" t="s">
        <v>120</v>
      </c>
      <c r="J14" t="s">
        <v>138</v>
      </c>
      <c r="K14" t="s">
        <v>131</v>
      </c>
      <c r="L14" t="s">
        <v>131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Z14" t="s">
        <v>127</v>
      </c>
      <c r="AA14" t="s">
        <v>111</v>
      </c>
      <c r="AB14" t="s">
        <v>92</v>
      </c>
      <c r="AC14" t="s">
        <v>103</v>
      </c>
      <c r="AD14" t="s">
        <v>112</v>
      </c>
      <c r="AE14" t="s">
        <v>134</v>
      </c>
      <c r="AF14" t="s">
        <v>111</v>
      </c>
      <c r="AG14" t="s">
        <v>117</v>
      </c>
      <c r="AH14" t="s">
        <v>134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139</v>
      </c>
      <c r="AP14" t="s">
        <v>120</v>
      </c>
      <c r="AQ14" t="s">
        <v>131</v>
      </c>
      <c r="AR14" t="s">
        <v>94</v>
      </c>
      <c r="AS14" t="s">
        <v>140</v>
      </c>
      <c r="AT14" t="s">
        <v>115</v>
      </c>
      <c r="AU14" t="s">
        <v>124</v>
      </c>
      <c r="AV14" t="s">
        <v>131</v>
      </c>
      <c r="AW14" t="s">
        <v>91</v>
      </c>
      <c r="AX14" t="s">
        <v>92</v>
      </c>
      <c r="AY14" t="s">
        <v>126</v>
      </c>
      <c r="AZ14" t="s">
        <v>104</v>
      </c>
      <c r="BA14" t="s">
        <v>104</v>
      </c>
      <c r="BB14" t="s">
        <v>123</v>
      </c>
      <c r="BC14" t="s">
        <v>122</v>
      </c>
      <c r="BD14" t="s">
        <v>124</v>
      </c>
      <c r="BK14" t="s">
        <v>139</v>
      </c>
      <c r="BM14" t="s">
        <v>125</v>
      </c>
      <c r="BN14" t="s">
        <v>119</v>
      </c>
    </row>
    <row r="15" spans="1:69" ht="15" customHeight="1" x14ac:dyDescent="0.25">
      <c r="A15" t="s">
        <v>131</v>
      </c>
      <c r="B15" t="s">
        <v>140</v>
      </c>
      <c r="C15" t="s">
        <v>122</v>
      </c>
      <c r="D15" t="s">
        <v>111</v>
      </c>
      <c r="E15" t="s">
        <v>92</v>
      </c>
      <c r="F15" t="s">
        <v>125</v>
      </c>
      <c r="H15" t="s">
        <v>125</v>
      </c>
      <c r="I15" t="s">
        <v>124</v>
      </c>
      <c r="K15" t="s">
        <v>125</v>
      </c>
      <c r="L15" t="s">
        <v>125</v>
      </c>
      <c r="N15" t="s">
        <v>133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131</v>
      </c>
      <c r="W15" t="s">
        <v>114</v>
      </c>
      <c r="Z15" t="s">
        <v>109</v>
      </c>
      <c r="AA15" t="s">
        <v>121</v>
      </c>
      <c r="AB15" t="s">
        <v>141</v>
      </c>
      <c r="AC15" t="s">
        <v>133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J15" t="s">
        <v>129</v>
      </c>
      <c r="AK15" t="s">
        <v>112</v>
      </c>
      <c r="AL15" t="s">
        <v>129</v>
      </c>
      <c r="AM15" t="s">
        <v>109</v>
      </c>
      <c r="AN15" t="s">
        <v>142</v>
      </c>
      <c r="AO15" t="s">
        <v>128</v>
      </c>
      <c r="AP15" t="s">
        <v>104</v>
      </c>
      <c r="AQ15" t="s">
        <v>140</v>
      </c>
      <c r="AR15" t="s">
        <v>104</v>
      </c>
      <c r="AS15" t="s">
        <v>122</v>
      </c>
      <c r="AT15" t="s">
        <v>107</v>
      </c>
      <c r="AU15" t="s">
        <v>125</v>
      </c>
      <c r="AV15" t="s">
        <v>103</v>
      </c>
      <c r="AW15" t="s">
        <v>106</v>
      </c>
      <c r="AX15" t="s">
        <v>111</v>
      </c>
      <c r="AY15" t="s">
        <v>122</v>
      </c>
      <c r="AZ15" t="s">
        <v>112</v>
      </c>
      <c r="BA15" t="s">
        <v>103</v>
      </c>
      <c r="BB15" t="s">
        <v>104</v>
      </c>
      <c r="BC15" t="s">
        <v>134</v>
      </c>
      <c r="BD15" t="s">
        <v>122</v>
      </c>
      <c r="BK15" t="s">
        <v>125</v>
      </c>
      <c r="BM15" t="s">
        <v>129</v>
      </c>
    </row>
    <row r="16" spans="1:69" ht="15" customHeight="1" x14ac:dyDescent="0.25">
      <c r="A16" t="s">
        <v>126</v>
      </c>
      <c r="B16" t="s">
        <v>92</v>
      </c>
      <c r="C16" t="s">
        <v>134</v>
      </c>
      <c r="D16" t="s">
        <v>120</v>
      </c>
      <c r="E16" t="s">
        <v>103</v>
      </c>
      <c r="F16" t="s">
        <v>138</v>
      </c>
      <c r="H16" t="s">
        <v>132</v>
      </c>
      <c r="I16" t="s">
        <v>125</v>
      </c>
      <c r="K16" t="s">
        <v>132</v>
      </c>
      <c r="L16" t="s">
        <v>132</v>
      </c>
      <c r="N16" t="s">
        <v>126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133</v>
      </c>
      <c r="U16" t="s">
        <v>104</v>
      </c>
      <c r="V16" t="s">
        <v>125</v>
      </c>
      <c r="W16" t="s">
        <v>104</v>
      </c>
      <c r="Z16" t="s">
        <v>111</v>
      </c>
      <c r="AA16" t="s">
        <v>120</v>
      </c>
      <c r="AB16" t="s">
        <v>126</v>
      </c>
      <c r="AC16" t="s">
        <v>92</v>
      </c>
      <c r="AD16" t="s">
        <v>119</v>
      </c>
      <c r="AE16" t="s">
        <v>119</v>
      </c>
      <c r="AF16" t="s">
        <v>132</v>
      </c>
      <c r="AG16" t="s">
        <v>129</v>
      </c>
      <c r="AH16" t="s">
        <v>92</v>
      </c>
      <c r="AK16" t="s">
        <v>120</v>
      </c>
      <c r="AM16" t="s">
        <v>133</v>
      </c>
      <c r="AN16" t="s">
        <v>136</v>
      </c>
      <c r="AO16" t="s">
        <v>126</v>
      </c>
      <c r="AP16" t="s">
        <v>122</v>
      </c>
      <c r="AQ16" t="s">
        <v>124</v>
      </c>
      <c r="AR16" t="s">
        <v>112</v>
      </c>
      <c r="AS16" t="s">
        <v>119</v>
      </c>
      <c r="AT16" t="s">
        <v>104</v>
      </c>
      <c r="AU16" t="s">
        <v>133</v>
      </c>
      <c r="AV16" t="s">
        <v>124</v>
      </c>
      <c r="AW16" t="s">
        <v>136</v>
      </c>
      <c r="AX16" t="s">
        <v>121</v>
      </c>
      <c r="AY16" t="s">
        <v>132</v>
      </c>
      <c r="AZ16" t="s">
        <v>142</v>
      </c>
      <c r="BA16" t="s">
        <v>133</v>
      </c>
      <c r="BB16" t="s">
        <v>103</v>
      </c>
      <c r="BC16" t="s">
        <v>119</v>
      </c>
      <c r="BD16" t="s">
        <v>129</v>
      </c>
      <c r="BK16" t="s">
        <v>143</v>
      </c>
    </row>
    <row r="17" spans="1:54" ht="15" customHeight="1" x14ac:dyDescent="0.25">
      <c r="A17" t="s">
        <v>132</v>
      </c>
      <c r="B17" t="s">
        <v>131</v>
      </c>
      <c r="C17" t="s">
        <v>129</v>
      </c>
      <c r="D17" t="s">
        <v>131</v>
      </c>
      <c r="E17" t="s">
        <v>131</v>
      </c>
      <c r="I17" t="s">
        <v>129</v>
      </c>
      <c r="L17" t="s">
        <v>120</v>
      </c>
      <c r="N17" t="s">
        <v>131</v>
      </c>
      <c r="O17" t="s">
        <v>122</v>
      </c>
      <c r="P17" t="s">
        <v>120</v>
      </c>
      <c r="Q17" t="s">
        <v>111</v>
      </c>
      <c r="R17" t="s">
        <v>133</v>
      </c>
      <c r="S17" t="s">
        <v>103</v>
      </c>
      <c r="T17" t="s">
        <v>134</v>
      </c>
      <c r="U17" t="s">
        <v>103</v>
      </c>
      <c r="V17" t="s">
        <v>126</v>
      </c>
      <c r="W17" t="s">
        <v>109</v>
      </c>
      <c r="Z17" t="s">
        <v>120</v>
      </c>
      <c r="AA17" t="s">
        <v>126</v>
      </c>
      <c r="AB17" t="s">
        <v>133</v>
      </c>
      <c r="AC17" t="s">
        <v>134</v>
      </c>
      <c r="AF17" t="s">
        <v>125</v>
      </c>
      <c r="AH17" t="s">
        <v>129</v>
      </c>
      <c r="AK17" t="s">
        <v>133</v>
      </c>
      <c r="AM17" t="s">
        <v>122</v>
      </c>
      <c r="AN17" t="s">
        <v>134</v>
      </c>
      <c r="AO17" t="s">
        <v>141</v>
      </c>
      <c r="AP17" t="s">
        <v>125</v>
      </c>
      <c r="AR17" t="s">
        <v>142</v>
      </c>
      <c r="AT17" t="s">
        <v>111</v>
      </c>
      <c r="AU17" t="s">
        <v>129</v>
      </c>
      <c r="AV17" t="s">
        <v>125</v>
      </c>
      <c r="AW17" t="s">
        <v>94</v>
      </c>
      <c r="AX17" t="s">
        <v>120</v>
      </c>
      <c r="AY17" t="s">
        <v>138</v>
      </c>
      <c r="AZ17" t="s">
        <v>120</v>
      </c>
      <c r="BA17" t="s">
        <v>135</v>
      </c>
      <c r="BB17" t="s">
        <v>121</v>
      </c>
    </row>
    <row r="18" spans="1:54" ht="15" customHeight="1" x14ac:dyDescent="0.25">
      <c r="A18" t="s">
        <v>119</v>
      </c>
      <c r="B18" t="s">
        <v>129</v>
      </c>
      <c r="D18" t="s">
        <v>122</v>
      </c>
      <c r="E18" t="s">
        <v>140</v>
      </c>
      <c r="N18" t="s">
        <v>129</v>
      </c>
      <c r="O18" t="s">
        <v>134</v>
      </c>
      <c r="P18" t="s">
        <v>121</v>
      </c>
      <c r="Q18" t="s">
        <v>120</v>
      </c>
      <c r="R18" t="s">
        <v>111</v>
      </c>
      <c r="S18" t="s">
        <v>112</v>
      </c>
      <c r="T18" t="s">
        <v>126</v>
      </c>
      <c r="U18" t="s">
        <v>112</v>
      </c>
      <c r="V18" t="s">
        <v>132</v>
      </c>
      <c r="W18" t="s">
        <v>111</v>
      </c>
      <c r="Z18" t="s">
        <v>126</v>
      </c>
      <c r="AA18" t="s">
        <v>134</v>
      </c>
      <c r="AB18" t="s">
        <v>119</v>
      </c>
      <c r="AC18" t="s">
        <v>126</v>
      </c>
      <c r="AK18" t="s">
        <v>122</v>
      </c>
      <c r="AM18" t="s">
        <v>125</v>
      </c>
      <c r="AN18" t="s">
        <v>126</v>
      </c>
      <c r="AO18" t="s">
        <v>119</v>
      </c>
      <c r="AP18" t="s">
        <v>119</v>
      </c>
      <c r="AR18" t="s">
        <v>91</v>
      </c>
      <c r="AT18" t="s">
        <v>121</v>
      </c>
      <c r="AW18" t="s">
        <v>122</v>
      </c>
      <c r="AX18" t="s">
        <v>128</v>
      </c>
      <c r="AZ18" t="s">
        <v>139</v>
      </c>
      <c r="BA18" t="s">
        <v>139</v>
      </c>
      <c r="BB18" t="s">
        <v>135</v>
      </c>
    </row>
    <row r="19" spans="1:54" ht="15" customHeight="1" x14ac:dyDescent="0.25">
      <c r="D19" t="s">
        <v>129</v>
      </c>
      <c r="E19" t="s">
        <v>132</v>
      </c>
      <c r="O19" t="s">
        <v>143</v>
      </c>
      <c r="P19" t="s">
        <v>125</v>
      </c>
      <c r="Q19" t="s">
        <v>126</v>
      </c>
      <c r="R19" t="s">
        <v>125</v>
      </c>
      <c r="S19" t="s">
        <v>121</v>
      </c>
      <c r="T19" t="s">
        <v>119</v>
      </c>
      <c r="U19" t="s">
        <v>120</v>
      </c>
      <c r="V19" t="s">
        <v>133</v>
      </c>
      <c r="W19" t="s">
        <v>134</v>
      </c>
      <c r="Z19" t="s">
        <v>143</v>
      </c>
      <c r="AC19" t="s">
        <v>132</v>
      </c>
      <c r="AK19" t="s">
        <v>125</v>
      </c>
      <c r="AM19" t="s">
        <v>138</v>
      </c>
      <c r="AN19" t="s">
        <v>132</v>
      </c>
      <c r="AR19" t="s">
        <v>136</v>
      </c>
      <c r="AT19" t="s">
        <v>120</v>
      </c>
      <c r="AW19" t="s">
        <v>125</v>
      </c>
      <c r="AX19" t="s">
        <v>132</v>
      </c>
      <c r="AZ19" t="s">
        <v>125</v>
      </c>
      <c r="BA19" t="s">
        <v>125</v>
      </c>
      <c r="BB19" t="s">
        <v>141</v>
      </c>
    </row>
    <row r="20" spans="1:54" ht="15" customHeight="1" x14ac:dyDescent="0.25">
      <c r="E20" t="s">
        <v>119</v>
      </c>
      <c r="P20" t="s">
        <v>126</v>
      </c>
      <c r="Q20" t="s">
        <v>137</v>
      </c>
      <c r="R20" t="s">
        <v>122</v>
      </c>
      <c r="S20" t="s">
        <v>94</v>
      </c>
      <c r="U20" t="s">
        <v>109</v>
      </c>
      <c r="V20" t="s">
        <v>129</v>
      </c>
      <c r="W20" t="s">
        <v>126</v>
      </c>
      <c r="AC20" t="s">
        <v>119</v>
      </c>
      <c r="AK20" t="s">
        <v>129</v>
      </c>
      <c r="AN20" t="s">
        <v>122</v>
      </c>
      <c r="AR20" t="s">
        <v>125</v>
      </c>
      <c r="AT20" t="s">
        <v>128</v>
      </c>
      <c r="AW20" t="s">
        <v>129</v>
      </c>
      <c r="AZ20" t="s">
        <v>119</v>
      </c>
      <c r="BA20" t="s">
        <v>126</v>
      </c>
      <c r="BB20" t="s">
        <v>126</v>
      </c>
    </row>
    <row r="21" spans="1:54" ht="15" customHeight="1" x14ac:dyDescent="0.25">
      <c r="P21" t="s">
        <v>143</v>
      </c>
      <c r="R21" t="s">
        <v>104</v>
      </c>
      <c r="S21" t="s">
        <v>141</v>
      </c>
      <c r="U21" t="s">
        <v>125</v>
      </c>
      <c r="V21" t="s">
        <v>119</v>
      </c>
      <c r="W21" t="s">
        <v>129</v>
      </c>
      <c r="AN21" t="s">
        <v>129</v>
      </c>
      <c r="AR21" t="s">
        <v>120</v>
      </c>
      <c r="AT21" t="s">
        <v>132</v>
      </c>
      <c r="BA21" t="s">
        <v>142</v>
      </c>
      <c r="BB21" t="s">
        <v>119</v>
      </c>
    </row>
    <row r="22" spans="1:54" ht="15" customHeight="1" x14ac:dyDescent="0.25">
      <c r="R22" t="s">
        <v>137</v>
      </c>
      <c r="S22" t="s">
        <v>126</v>
      </c>
      <c r="U22" t="s">
        <v>132</v>
      </c>
      <c r="AR22" t="s">
        <v>129</v>
      </c>
      <c r="AT22" t="s">
        <v>119</v>
      </c>
      <c r="BA22" t="s">
        <v>119</v>
      </c>
    </row>
    <row r="23" spans="1:54" ht="15" customHeight="1" x14ac:dyDescent="0.25">
      <c r="S23" t="s">
        <v>129</v>
      </c>
      <c r="U23" t="s">
        <v>119</v>
      </c>
    </row>
    <row r="24" spans="1:54" ht="15" customHeight="1" x14ac:dyDescent="0.25"/>
    <row r="25" spans="1:54" ht="15" customHeight="1" x14ac:dyDescent="0.25"/>
    <row r="26" spans="1:54" ht="15.75" customHeight="1" x14ac:dyDescent="0.25"/>
    <row r="27" spans="1:54" ht="15" customHeight="1" x14ac:dyDescent="0.25"/>
    <row r="28" spans="1:54" ht="15" customHeight="1" x14ac:dyDescent="0.25"/>
    <row r="29" spans="1:54" ht="15" customHeight="1" x14ac:dyDescent="0.25"/>
    <row r="30" spans="1:54" ht="15" customHeight="1" x14ac:dyDescent="0.25"/>
    <row r="31" spans="1:54" ht="15" customHeight="1" x14ac:dyDescent="0.25"/>
    <row r="32" spans="1:54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S42"/>
  <sheetViews>
    <sheetView zoomScaleNormal="100" workbookViewId="0">
      <selection activeCell="H21" sqref="H2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spans="1:71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127</v>
      </c>
      <c r="AQ3" t="s">
        <v>130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142</v>
      </c>
      <c r="AZ3" t="s">
        <v>121</v>
      </c>
      <c r="BA3" t="s">
        <v>133</v>
      </c>
      <c r="BB3" t="s">
        <v>131</v>
      </c>
      <c r="BC3" t="s">
        <v>120</v>
      </c>
      <c r="BD3" t="s">
        <v>136</v>
      </c>
      <c r="BE3" t="s">
        <v>141</v>
      </c>
      <c r="BF3" t="s">
        <v>140</v>
      </c>
      <c r="BG3" t="s">
        <v>122</v>
      </c>
      <c r="BH3" t="s">
        <v>124</v>
      </c>
      <c r="BI3" t="s">
        <v>139</v>
      </c>
      <c r="BJ3" t="s">
        <v>134</v>
      </c>
      <c r="BK3" t="s">
        <v>125</v>
      </c>
      <c r="BL3" t="s">
        <v>128</v>
      </c>
      <c r="BM3" t="s">
        <v>126</v>
      </c>
      <c r="BN3" t="s">
        <v>132</v>
      </c>
      <c r="BO3" t="s">
        <v>129</v>
      </c>
      <c r="BP3" t="s">
        <v>138</v>
      </c>
      <c r="BQ3" t="s">
        <v>137</v>
      </c>
      <c r="BR3" t="s">
        <v>143</v>
      </c>
      <c r="BS3" t="s">
        <v>119</v>
      </c>
    </row>
    <row r="4" spans="1:71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5</v>
      </c>
      <c r="BG4" t="s">
        <v>58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5</v>
      </c>
      <c r="BP4" t="s">
        <v>9</v>
      </c>
      <c r="BQ4" t="s">
        <v>21</v>
      </c>
      <c r="BR4" t="s">
        <v>18</v>
      </c>
      <c r="BS4" t="s">
        <v>58</v>
      </c>
    </row>
    <row r="5" spans="1:71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46</v>
      </c>
      <c r="BG5" t="s">
        <v>63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39</v>
      </c>
      <c r="BP5" t="s">
        <v>54</v>
      </c>
      <c r="BQ5" t="s">
        <v>71</v>
      </c>
      <c r="BR5" t="s">
        <v>29</v>
      </c>
      <c r="BS5" t="s">
        <v>4</v>
      </c>
    </row>
    <row r="6" spans="1:71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8</v>
      </c>
      <c r="BG6" t="s">
        <v>62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13</v>
      </c>
      <c r="BQ6" t="s">
        <v>20</v>
      </c>
      <c r="BR6" t="s">
        <v>19</v>
      </c>
      <c r="BS6" t="s">
        <v>8</v>
      </c>
    </row>
    <row r="7" spans="1:71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48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65</v>
      </c>
      <c r="BR7" t="s">
        <v>66</v>
      </c>
      <c r="BS7" t="s">
        <v>48</v>
      </c>
    </row>
    <row r="8" spans="1:71" ht="15" customHeight="1" x14ac:dyDescent="0.25">
      <c r="A8" t="s">
        <v>21</v>
      </c>
      <c r="D8" t="s">
        <v>144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144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6</v>
      </c>
      <c r="BH8" t="s">
        <v>46</v>
      </c>
      <c r="BJ8" t="s">
        <v>58</v>
      </c>
      <c r="BK8" t="s">
        <v>56</v>
      </c>
      <c r="BM8" t="s">
        <v>17</v>
      </c>
      <c r="BN8" t="s">
        <v>41</v>
      </c>
      <c r="BO8" t="s">
        <v>68</v>
      </c>
      <c r="BS8" t="s">
        <v>56</v>
      </c>
    </row>
    <row r="9" spans="1:71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144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18</v>
      </c>
      <c r="BH9" t="s">
        <v>50</v>
      </c>
      <c r="BJ9" t="s">
        <v>6</v>
      </c>
      <c r="BK9" t="s">
        <v>45</v>
      </c>
      <c r="BM9" t="s">
        <v>33</v>
      </c>
      <c r="BN9" t="s">
        <v>49</v>
      </c>
      <c r="BO9" t="s">
        <v>50</v>
      </c>
      <c r="BS9" t="s">
        <v>45</v>
      </c>
    </row>
    <row r="10" spans="1:71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7</v>
      </c>
      <c r="BH10" t="s">
        <v>12</v>
      </c>
      <c r="BJ10" t="s">
        <v>69</v>
      </c>
      <c r="BK10" t="s">
        <v>66</v>
      </c>
      <c r="BM10" t="s">
        <v>32</v>
      </c>
      <c r="BN10" t="s">
        <v>32</v>
      </c>
      <c r="BO10" t="s">
        <v>52</v>
      </c>
      <c r="BS10" t="s">
        <v>57</v>
      </c>
    </row>
    <row r="11" spans="1:71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40</v>
      </c>
      <c r="BH11" t="s">
        <v>51</v>
      </c>
      <c r="BJ11" t="s">
        <v>43</v>
      </c>
      <c r="BK11" t="s">
        <v>25</v>
      </c>
      <c r="BM11" t="s">
        <v>37</v>
      </c>
      <c r="BN11" t="s">
        <v>53</v>
      </c>
      <c r="BO11" t="s">
        <v>62</v>
      </c>
      <c r="BS11" t="s">
        <v>55</v>
      </c>
    </row>
    <row r="12" spans="1:71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144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70</v>
      </c>
      <c r="BJ12" t="s">
        <v>39</v>
      </c>
      <c r="BK12" t="s">
        <v>68</v>
      </c>
      <c r="BM12" t="s">
        <v>36</v>
      </c>
      <c r="BN12" t="s">
        <v>11</v>
      </c>
      <c r="BO12" t="s">
        <v>41</v>
      </c>
      <c r="BS12" t="s">
        <v>44</v>
      </c>
    </row>
    <row r="13" spans="1:71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45</v>
      </c>
      <c r="BJ13" t="s">
        <v>26</v>
      </c>
      <c r="BK13" t="s">
        <v>14</v>
      </c>
      <c r="BM13" t="s">
        <v>29</v>
      </c>
      <c r="BN13" t="s">
        <v>54</v>
      </c>
      <c r="BO13" t="s">
        <v>47</v>
      </c>
      <c r="BS13" t="s">
        <v>49</v>
      </c>
    </row>
    <row r="14" spans="1:71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65</v>
      </c>
      <c r="BJ14" t="s">
        <v>23</v>
      </c>
      <c r="BK14" t="s">
        <v>15</v>
      </c>
      <c r="BM14" t="s">
        <v>22</v>
      </c>
      <c r="BN14" t="s">
        <v>13</v>
      </c>
      <c r="BO14" t="s">
        <v>59</v>
      </c>
      <c r="BS14" t="s">
        <v>69</v>
      </c>
    </row>
    <row r="15" spans="1:71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61</v>
      </c>
      <c r="BJ15" t="s">
        <v>30</v>
      </c>
      <c r="BK15" t="s">
        <v>51</v>
      </c>
      <c r="BM15" t="s">
        <v>20</v>
      </c>
      <c r="BN15" t="s">
        <v>43</v>
      </c>
      <c r="BO15" t="s">
        <v>43</v>
      </c>
      <c r="BS15" t="s">
        <v>60</v>
      </c>
    </row>
    <row r="16" spans="1:71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68</v>
      </c>
      <c r="BJ16" t="s">
        <v>34</v>
      </c>
      <c r="BK16" t="s">
        <v>41</v>
      </c>
      <c r="BM16" t="s">
        <v>31</v>
      </c>
      <c r="BN16" t="s">
        <v>38</v>
      </c>
      <c r="BO16" t="s">
        <v>6</v>
      </c>
      <c r="BS16" t="s">
        <v>24</v>
      </c>
    </row>
    <row r="17" spans="1:71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9</v>
      </c>
      <c r="BJ17" t="s">
        <v>18</v>
      </c>
      <c r="BK17" t="s">
        <v>50</v>
      </c>
      <c r="BM17" t="s">
        <v>34</v>
      </c>
      <c r="BN17" t="s">
        <v>24</v>
      </c>
      <c r="BO17" t="s">
        <v>26</v>
      </c>
      <c r="BS17" t="s">
        <v>33</v>
      </c>
    </row>
    <row r="18" spans="1:71" ht="15" customHeight="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52</v>
      </c>
      <c r="BJ18" t="s">
        <v>32</v>
      </c>
      <c r="BK18" t="s">
        <v>52</v>
      </c>
      <c r="BM18" t="s">
        <v>19</v>
      </c>
      <c r="BN18" t="s">
        <v>35</v>
      </c>
      <c r="BO18" t="s">
        <v>12</v>
      </c>
      <c r="BS18" t="s">
        <v>32</v>
      </c>
    </row>
    <row r="19" spans="1:71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42</v>
      </c>
      <c r="BJ19" t="s">
        <v>37</v>
      </c>
      <c r="BK19" t="s">
        <v>62</v>
      </c>
      <c r="BM19" t="s">
        <v>25</v>
      </c>
      <c r="BN19" t="s">
        <v>25</v>
      </c>
      <c r="BO19" t="s">
        <v>37</v>
      </c>
      <c r="BS19" t="s">
        <v>23</v>
      </c>
    </row>
    <row r="20" spans="1:71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G20" t="s">
        <v>21</v>
      </c>
      <c r="BK20" t="s">
        <v>9</v>
      </c>
      <c r="BM20" t="s">
        <v>56</v>
      </c>
      <c r="BO20" t="s">
        <v>17</v>
      </c>
      <c r="BS20" t="s">
        <v>31</v>
      </c>
    </row>
    <row r="21" spans="1:71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G21" t="s">
        <v>54</v>
      </c>
      <c r="BK21" t="s">
        <v>11</v>
      </c>
      <c r="BM21" t="s">
        <v>38</v>
      </c>
      <c r="BO21" t="s">
        <v>36</v>
      </c>
      <c r="BS21" t="s">
        <v>34</v>
      </c>
    </row>
    <row r="22" spans="1:71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G22" t="s">
        <v>59</v>
      </c>
      <c r="BK22" t="s">
        <v>19</v>
      </c>
      <c r="BM22" t="s">
        <v>35</v>
      </c>
      <c r="BO22" t="s">
        <v>40</v>
      </c>
      <c r="BS22" t="s">
        <v>27</v>
      </c>
    </row>
    <row r="23" spans="1:71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G23" t="s">
        <v>43</v>
      </c>
      <c r="BK23" t="s">
        <v>12</v>
      </c>
      <c r="BM23" t="s">
        <v>57</v>
      </c>
      <c r="BO23" t="s">
        <v>25</v>
      </c>
      <c r="BS23" t="s">
        <v>25</v>
      </c>
    </row>
    <row r="24" spans="1:71" ht="15" customHeight="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21</v>
      </c>
      <c r="BM24" t="s">
        <v>44</v>
      </c>
    </row>
    <row r="25" spans="1:71" ht="15" customHeight="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47</v>
      </c>
      <c r="BM25" t="s">
        <v>26</v>
      </c>
    </row>
    <row r="26" spans="1:71" ht="15" customHeight="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40</v>
      </c>
      <c r="BM26" t="s">
        <v>23</v>
      </c>
    </row>
    <row r="27" spans="1:71" ht="15" customHeight="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42</v>
      </c>
      <c r="BM27" t="s">
        <v>30</v>
      </c>
    </row>
    <row r="28" spans="1:71" ht="15" customHeight="1" x14ac:dyDescent="0.25"/>
    <row r="29" spans="1:71" ht="15" customHeight="1" x14ac:dyDescent="0.25"/>
    <row r="30" spans="1:71" ht="15" customHeight="1" x14ac:dyDescent="0.25"/>
    <row r="31" spans="1:71" ht="15" customHeight="1" x14ac:dyDescent="0.25"/>
    <row r="32" spans="1:7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S14"/>
  <sheetViews>
    <sheetView zoomScale="96" zoomScaleNormal="96" workbookViewId="0">
      <selection activeCell="BF41" sqref="BF41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spans="1:71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135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127</v>
      </c>
      <c r="AQ3" t="s">
        <v>130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142</v>
      </c>
      <c r="AZ3" t="s">
        <v>121</v>
      </c>
      <c r="BA3" t="s">
        <v>133</v>
      </c>
      <c r="BB3" t="s">
        <v>131</v>
      </c>
      <c r="BC3" t="s">
        <v>120</v>
      </c>
      <c r="BD3" t="s">
        <v>136</v>
      </c>
      <c r="BE3" t="s">
        <v>141</v>
      </c>
      <c r="BF3" t="s">
        <v>140</v>
      </c>
      <c r="BG3" t="s">
        <v>122</v>
      </c>
      <c r="BH3" t="s">
        <v>124</v>
      </c>
      <c r="BI3" t="s">
        <v>139</v>
      </c>
      <c r="BJ3" t="s">
        <v>134</v>
      </c>
      <c r="BK3" t="s">
        <v>125</v>
      </c>
      <c r="BL3" t="s">
        <v>128</v>
      </c>
      <c r="BM3" t="s">
        <v>126</v>
      </c>
      <c r="BN3" t="s">
        <v>132</v>
      </c>
      <c r="BO3" t="s">
        <v>129</v>
      </c>
      <c r="BP3" t="s">
        <v>138</v>
      </c>
      <c r="BQ3" t="s">
        <v>137</v>
      </c>
      <c r="BR3" t="s">
        <v>143</v>
      </c>
      <c r="BS3" t="s">
        <v>119</v>
      </c>
    </row>
    <row r="4" spans="1:71" ht="15" customHeight="1" x14ac:dyDescent="0.25">
      <c r="A4" t="s">
        <v>145</v>
      </c>
      <c r="B4" t="s">
        <v>146</v>
      </c>
      <c r="C4" t="s">
        <v>147</v>
      </c>
      <c r="D4" t="s">
        <v>148</v>
      </c>
      <c r="E4" t="s">
        <v>149</v>
      </c>
      <c r="F4" t="s">
        <v>150</v>
      </c>
      <c r="G4" t="s">
        <v>151</v>
      </c>
      <c r="H4" t="s">
        <v>152</v>
      </c>
      <c r="I4" t="s">
        <v>153</v>
      </c>
      <c r="J4" t="s">
        <v>154</v>
      </c>
      <c r="K4" t="s">
        <v>155</v>
      </c>
      <c r="L4" t="s">
        <v>156</v>
      </c>
      <c r="M4" t="s">
        <v>157</v>
      </c>
      <c r="N4" t="s">
        <v>158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  <c r="V4" t="s">
        <v>166</v>
      </c>
      <c r="W4" t="s">
        <v>167</v>
      </c>
      <c r="X4" t="s">
        <v>168</v>
      </c>
      <c r="Y4" t="s">
        <v>169</v>
      </c>
      <c r="Z4" t="s">
        <v>170</v>
      </c>
      <c r="AA4" t="s">
        <v>171</v>
      </c>
      <c r="AB4" t="s">
        <v>172</v>
      </c>
      <c r="AC4" t="s">
        <v>173</v>
      </c>
      <c r="AD4" t="s">
        <v>174</v>
      </c>
      <c r="AE4" t="s">
        <v>175</v>
      </c>
      <c r="AF4" t="s">
        <v>176</v>
      </c>
      <c r="AG4" t="s">
        <v>177</v>
      </c>
      <c r="AH4" t="s">
        <v>178</v>
      </c>
      <c r="AI4" t="s">
        <v>179</v>
      </c>
      <c r="AJ4" t="s">
        <v>180</v>
      </c>
      <c r="AK4" t="s">
        <v>181</v>
      </c>
      <c r="AL4" t="s">
        <v>182</v>
      </c>
      <c r="AM4" t="s">
        <v>183</v>
      </c>
      <c r="AN4" t="s">
        <v>184</v>
      </c>
      <c r="AO4" t="s">
        <v>185</v>
      </c>
      <c r="AP4" t="s">
        <v>173</v>
      </c>
      <c r="AQ4" t="s">
        <v>186</v>
      </c>
      <c r="AR4" t="s">
        <v>187</v>
      </c>
      <c r="AS4" t="s">
        <v>188</v>
      </c>
      <c r="AT4" t="s">
        <v>189</v>
      </c>
      <c r="AU4" t="s">
        <v>190</v>
      </c>
      <c r="AV4" t="s">
        <v>191</v>
      </c>
      <c r="AW4" t="s">
        <v>192</v>
      </c>
      <c r="AX4" t="s">
        <v>193</v>
      </c>
      <c r="AY4" t="s">
        <v>194</v>
      </c>
      <c r="AZ4" t="s">
        <v>195</v>
      </c>
      <c r="BA4" t="s">
        <v>196</v>
      </c>
      <c r="BB4" t="s">
        <v>197</v>
      </c>
      <c r="BC4" t="s">
        <v>198</v>
      </c>
      <c r="BD4" t="s">
        <v>199</v>
      </c>
      <c r="BE4" t="s">
        <v>200</v>
      </c>
      <c r="BF4" t="s">
        <v>201</v>
      </c>
      <c r="BG4" t="s">
        <v>202</v>
      </c>
      <c r="BH4" t="s">
        <v>203</v>
      </c>
      <c r="BI4" t="s">
        <v>204</v>
      </c>
      <c r="BJ4" t="s">
        <v>205</v>
      </c>
      <c r="BK4" t="s">
        <v>206</v>
      </c>
      <c r="BL4" t="s">
        <v>207</v>
      </c>
      <c r="BM4" t="s">
        <v>208</v>
      </c>
      <c r="BN4" t="s">
        <v>209</v>
      </c>
      <c r="BO4" t="s">
        <v>210</v>
      </c>
      <c r="BP4" t="s">
        <v>211</v>
      </c>
      <c r="BQ4" t="s">
        <v>212</v>
      </c>
      <c r="BR4" t="s">
        <v>213</v>
      </c>
      <c r="BS4" t="s">
        <v>214</v>
      </c>
    </row>
    <row r="5" spans="1:71" ht="15" customHeight="1" x14ac:dyDescent="0.25">
      <c r="A5" t="s">
        <v>215</v>
      </c>
      <c r="D5" t="s">
        <v>216</v>
      </c>
      <c r="F5" t="s">
        <v>217</v>
      </c>
      <c r="G5" t="s">
        <v>218</v>
      </c>
      <c r="H5" t="s">
        <v>219</v>
      </c>
      <c r="K5" t="s">
        <v>220</v>
      </c>
      <c r="L5" t="s">
        <v>221</v>
      </c>
      <c r="N5" t="s">
        <v>222</v>
      </c>
      <c r="P5" t="s">
        <v>223</v>
      </c>
      <c r="R5" t="s">
        <v>224</v>
      </c>
      <c r="T5" t="s">
        <v>225</v>
      </c>
      <c r="U5" t="s">
        <v>226</v>
      </c>
      <c r="V5" t="s">
        <v>227</v>
      </c>
      <c r="W5" t="s">
        <v>228</v>
      </c>
      <c r="Y5" t="s">
        <v>229</v>
      </c>
      <c r="Z5" t="s">
        <v>230</v>
      </c>
      <c r="AB5" t="s">
        <v>231</v>
      </c>
      <c r="AD5" t="s">
        <v>232</v>
      </c>
      <c r="AE5" t="s">
        <v>233</v>
      </c>
      <c r="AF5" t="s">
        <v>234</v>
      </c>
      <c r="AI5" t="s">
        <v>235</v>
      </c>
      <c r="AK5" t="s">
        <v>236</v>
      </c>
      <c r="AL5" t="s">
        <v>237</v>
      </c>
      <c r="AM5" t="s">
        <v>238</v>
      </c>
      <c r="AN5" t="s">
        <v>239</v>
      </c>
      <c r="AO5" t="s">
        <v>240</v>
      </c>
      <c r="AR5" t="s">
        <v>241</v>
      </c>
      <c r="AS5" t="s">
        <v>242</v>
      </c>
      <c r="AT5" t="s">
        <v>243</v>
      </c>
      <c r="AU5" t="s">
        <v>244</v>
      </c>
      <c r="AV5" t="s">
        <v>245</v>
      </c>
      <c r="AW5" t="s">
        <v>246</v>
      </c>
      <c r="AX5" t="s">
        <v>247</v>
      </c>
      <c r="AZ5" t="s">
        <v>248</v>
      </c>
      <c r="BA5" t="s">
        <v>249</v>
      </c>
      <c r="BB5" t="s">
        <v>250</v>
      </c>
      <c r="BC5" t="s">
        <v>251</v>
      </c>
      <c r="BG5" t="s">
        <v>252</v>
      </c>
      <c r="BH5" t="s">
        <v>253</v>
      </c>
      <c r="BJ5" t="s">
        <v>254</v>
      </c>
      <c r="BK5" t="s">
        <v>255</v>
      </c>
      <c r="BM5" t="s">
        <v>256</v>
      </c>
      <c r="BN5" t="s">
        <v>257</v>
      </c>
      <c r="BO5" t="s">
        <v>258</v>
      </c>
      <c r="BS5" t="s">
        <v>259</v>
      </c>
    </row>
    <row r="6" spans="1:71" ht="15" customHeight="1" x14ac:dyDescent="0.25">
      <c r="A6" t="s">
        <v>260</v>
      </c>
      <c r="D6" t="s">
        <v>261</v>
      </c>
      <c r="F6" t="s">
        <v>262</v>
      </c>
      <c r="G6" t="s">
        <v>263</v>
      </c>
      <c r="H6" t="s">
        <v>264</v>
      </c>
      <c r="K6" t="s">
        <v>265</v>
      </c>
      <c r="L6" t="s">
        <v>266</v>
      </c>
      <c r="N6" t="s">
        <v>267</v>
      </c>
      <c r="P6" t="s">
        <v>268</v>
      </c>
      <c r="T6" t="s">
        <v>269</v>
      </c>
      <c r="V6" t="s">
        <v>270</v>
      </c>
      <c r="W6" t="s">
        <v>271</v>
      </c>
      <c r="Y6" t="s">
        <v>272</v>
      </c>
      <c r="Z6" t="s">
        <v>273</v>
      </c>
      <c r="AB6" t="s">
        <v>274</v>
      </c>
      <c r="AD6" t="s">
        <v>275</v>
      </c>
      <c r="AE6" t="s">
        <v>276</v>
      </c>
      <c r="AI6" t="s">
        <v>277</v>
      </c>
      <c r="AK6" t="s">
        <v>278</v>
      </c>
      <c r="AM6" t="s">
        <v>279</v>
      </c>
      <c r="AN6" t="s">
        <v>280</v>
      </c>
      <c r="AO6" t="s">
        <v>281</v>
      </c>
      <c r="AS6" t="s">
        <v>282</v>
      </c>
      <c r="AT6" t="s">
        <v>283</v>
      </c>
      <c r="AU6" t="s">
        <v>284</v>
      </c>
      <c r="AV6" t="s">
        <v>285</v>
      </c>
      <c r="AW6" t="s">
        <v>286</v>
      </c>
      <c r="AX6" t="s">
        <v>287</v>
      </c>
      <c r="AZ6" t="s">
        <v>288</v>
      </c>
      <c r="BA6" t="s">
        <v>289</v>
      </c>
      <c r="BB6" t="s">
        <v>290</v>
      </c>
      <c r="BC6" t="s">
        <v>291</v>
      </c>
      <c r="BG6" t="s">
        <v>292</v>
      </c>
      <c r="BJ6" t="s">
        <v>293</v>
      </c>
      <c r="BK6" t="s">
        <v>294</v>
      </c>
      <c r="BM6" t="s">
        <v>295</v>
      </c>
      <c r="BN6" t="s">
        <v>296</v>
      </c>
      <c r="BO6" t="s">
        <v>297</v>
      </c>
      <c r="BS6" t="s">
        <v>298</v>
      </c>
    </row>
    <row r="7" spans="1:71" ht="15" customHeight="1" x14ac:dyDescent="0.25">
      <c r="A7" t="s">
        <v>299</v>
      </c>
      <c r="D7" t="s">
        <v>300</v>
      </c>
      <c r="F7" t="s">
        <v>301</v>
      </c>
      <c r="G7" t="s">
        <v>302</v>
      </c>
      <c r="H7" t="s">
        <v>303</v>
      </c>
      <c r="K7" t="s">
        <v>304</v>
      </c>
      <c r="L7" t="s">
        <v>305</v>
      </c>
      <c r="N7" t="s">
        <v>306</v>
      </c>
      <c r="P7" t="s">
        <v>307</v>
      </c>
      <c r="T7" t="s">
        <v>308</v>
      </c>
      <c r="V7" t="s">
        <v>309</v>
      </c>
      <c r="W7" t="s">
        <v>310</v>
      </c>
      <c r="Y7" t="s">
        <v>311</v>
      </c>
      <c r="Z7" t="s">
        <v>312</v>
      </c>
      <c r="AB7" t="s">
        <v>313</v>
      </c>
      <c r="AD7" t="s">
        <v>314</v>
      </c>
      <c r="AE7" t="s">
        <v>315</v>
      </c>
      <c r="AI7" t="s">
        <v>316</v>
      </c>
      <c r="AK7" t="s">
        <v>317</v>
      </c>
      <c r="AM7" t="s">
        <v>318</v>
      </c>
      <c r="AN7" t="s">
        <v>319</v>
      </c>
      <c r="AO7" t="s">
        <v>320</v>
      </c>
      <c r="AS7" t="s">
        <v>321</v>
      </c>
      <c r="AT7" t="s">
        <v>322</v>
      </c>
      <c r="AU7" t="s">
        <v>323</v>
      </c>
      <c r="AV7" t="s">
        <v>324</v>
      </c>
      <c r="AW7" t="s">
        <v>325</v>
      </c>
      <c r="AX7" t="s">
        <v>326</v>
      </c>
      <c r="AZ7" t="s">
        <v>327</v>
      </c>
      <c r="BC7" t="s">
        <v>328</v>
      </c>
      <c r="BG7" t="s">
        <v>329</v>
      </c>
      <c r="BJ7" t="s">
        <v>330</v>
      </c>
      <c r="BK7" t="s">
        <v>331</v>
      </c>
      <c r="BM7" t="s">
        <v>332</v>
      </c>
      <c r="BN7" t="s">
        <v>333</v>
      </c>
      <c r="BO7" t="s">
        <v>334</v>
      </c>
      <c r="BS7" t="s">
        <v>335</v>
      </c>
    </row>
    <row r="8" spans="1:71" ht="15" customHeight="1" x14ac:dyDescent="0.25">
      <c r="A8" t="s">
        <v>336</v>
      </c>
      <c r="D8" t="s">
        <v>337</v>
      </c>
      <c r="F8" t="s">
        <v>338</v>
      </c>
      <c r="G8" t="s">
        <v>339</v>
      </c>
      <c r="H8" t="s">
        <v>340</v>
      </c>
      <c r="K8" t="s">
        <v>341</v>
      </c>
      <c r="L8" t="s">
        <v>342</v>
      </c>
      <c r="V8" t="s">
        <v>343</v>
      </c>
      <c r="W8" t="s">
        <v>344</v>
      </c>
      <c r="Y8" t="s">
        <v>345</v>
      </c>
      <c r="AB8" t="s">
        <v>346</v>
      </c>
      <c r="AD8" t="s">
        <v>347</v>
      </c>
      <c r="AE8" t="s">
        <v>348</v>
      </c>
      <c r="AI8" t="s">
        <v>349</v>
      </c>
      <c r="AK8" t="s">
        <v>350</v>
      </c>
      <c r="AM8" t="s">
        <v>351</v>
      </c>
      <c r="AO8" t="s">
        <v>352</v>
      </c>
      <c r="AT8" t="s">
        <v>353</v>
      </c>
      <c r="AU8" t="s">
        <v>354</v>
      </c>
      <c r="AW8" t="s">
        <v>355</v>
      </c>
      <c r="AZ8" t="s">
        <v>356</v>
      </c>
      <c r="BC8" t="s">
        <v>357</v>
      </c>
      <c r="BG8" t="s">
        <v>358</v>
      </c>
      <c r="BK8" t="s">
        <v>359</v>
      </c>
      <c r="BM8" t="s">
        <v>360</v>
      </c>
      <c r="BO8" t="s">
        <v>361</v>
      </c>
      <c r="BS8" t="s">
        <v>362</v>
      </c>
    </row>
    <row r="9" spans="1:71" ht="15" customHeight="1" x14ac:dyDescent="0.25">
      <c r="G9" t="s">
        <v>363</v>
      </c>
      <c r="L9" t="s">
        <v>364</v>
      </c>
      <c r="AD9" t="s">
        <v>365</v>
      </c>
      <c r="AE9" t="s">
        <v>366</v>
      </c>
      <c r="AK9" t="s">
        <v>367</v>
      </c>
      <c r="AT9" t="s">
        <v>368</v>
      </c>
      <c r="BC9" t="s">
        <v>369</v>
      </c>
      <c r="BK9" t="s">
        <v>370</v>
      </c>
      <c r="BM9" t="s">
        <v>371</v>
      </c>
    </row>
    <row r="10" spans="1:71" ht="15" customHeight="1" x14ac:dyDescent="0.25"/>
    <row r="11" spans="1:71" ht="15" customHeight="1" x14ac:dyDescent="0.25"/>
    <row r="12" spans="1:71" ht="15" customHeight="1" x14ac:dyDescent="0.25"/>
    <row r="13" spans="1:71" ht="15" customHeight="1" x14ac:dyDescent="0.25"/>
    <row r="14" spans="1:71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B9" sqref="B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1" t="s">
        <v>372</v>
      </c>
      <c r="B1" s="62"/>
      <c r="C1" s="6">
        <f>COUNTIF(AHL_DAT_STRING!4:18,"&lt;&gt;")</f>
        <v>228</v>
      </c>
    </row>
    <row r="2" spans="1:12" ht="15.75" customHeight="1" x14ac:dyDescent="0.25">
      <c r="A2" s="63" t="s">
        <v>373</v>
      </c>
      <c r="B2" s="64"/>
      <c r="C2" s="7">
        <f>C1*4</f>
        <v>912</v>
      </c>
    </row>
    <row r="3" spans="1:12" x14ac:dyDescent="0.25">
      <c r="A3" s="8" t="s">
        <v>373</v>
      </c>
      <c r="B3" s="9">
        <f>COUNTIF(AHL!4:50, "&lt;&gt;")</f>
        <v>912</v>
      </c>
      <c r="E3" s="65" t="s">
        <v>374</v>
      </c>
      <c r="F3" s="64"/>
      <c r="G3" s="64"/>
      <c r="H3" s="64"/>
    </row>
    <row r="4" spans="1:12" ht="15.75" customHeight="1" x14ac:dyDescent="0.25">
      <c r="A4" s="10" t="s">
        <v>375</v>
      </c>
      <c r="B4" s="11">
        <f>SUMIF(AHL!2:2,"sl",AHL!1:1)</f>
        <v>132</v>
      </c>
      <c r="C4">
        <f>AHL!I1</f>
        <v>14</v>
      </c>
      <c r="E4" t="s">
        <v>376</v>
      </c>
      <c r="F4" t="s">
        <v>377</v>
      </c>
      <c r="G4" t="s">
        <v>378</v>
      </c>
      <c r="H4" t="s">
        <v>379</v>
      </c>
      <c r="I4" t="s">
        <v>380</v>
      </c>
      <c r="J4" t="s">
        <v>381</v>
      </c>
      <c r="K4" t="s">
        <v>382</v>
      </c>
      <c r="L4" t="s">
        <v>383</v>
      </c>
    </row>
    <row r="5" spans="1:12" ht="15.75" customHeight="1" x14ac:dyDescent="0.25">
      <c r="A5" s="10" t="s">
        <v>1</v>
      </c>
      <c r="B5" s="11">
        <f>SUMIF(AHL!2:2,"hr",AHL!1:1)</f>
        <v>28</v>
      </c>
      <c r="E5" s="12" t="s">
        <v>375</v>
      </c>
      <c r="F5" s="13">
        <v>2</v>
      </c>
      <c r="G5" s="14">
        <f>F5/13</f>
        <v>0.15384615384615385</v>
      </c>
      <c r="H5" s="15">
        <f>B4/B3</f>
        <v>0.14473684210526316</v>
      </c>
      <c r="I5" s="16">
        <f>C2*G5</f>
        <v>140.30769230769232</v>
      </c>
      <c r="J5">
        <f>B4</f>
        <v>132</v>
      </c>
      <c r="K5" s="17">
        <f>J5-I5</f>
        <v>-8.3076923076923208</v>
      </c>
      <c r="L5" s="18">
        <f>K5/4</f>
        <v>-2.0769230769230802</v>
      </c>
    </row>
    <row r="6" spans="1:12" ht="15.75" customHeight="1" x14ac:dyDescent="0.25">
      <c r="A6" s="10" t="s">
        <v>2</v>
      </c>
      <c r="B6" s="11">
        <f>SUMIF(AHL!2:2,"it",AHL!1:1)</f>
        <v>359</v>
      </c>
      <c r="C6">
        <f>AHL!X1</f>
        <v>5</v>
      </c>
      <c r="E6" s="12" t="s">
        <v>1</v>
      </c>
      <c r="F6" s="13">
        <v>1</v>
      </c>
      <c r="G6" s="14">
        <f>F6/13</f>
        <v>7.6923076923076927E-2</v>
      </c>
      <c r="H6" s="15">
        <f>B5/B3</f>
        <v>3.0701754385964911E-2</v>
      </c>
      <c r="I6" s="16">
        <f>C2*G6</f>
        <v>70.15384615384616</v>
      </c>
      <c r="J6">
        <f>B5</f>
        <v>28</v>
      </c>
      <c r="K6" s="17">
        <f>J6-I6</f>
        <v>-42.15384615384616</v>
      </c>
      <c r="L6" s="18">
        <f t="shared" ref="L6" si="0">K6/4</f>
        <v>-10.53846153846154</v>
      </c>
    </row>
    <row r="7" spans="1:12" ht="15.75" customHeight="1" x14ac:dyDescent="0.25">
      <c r="A7" s="19" t="s">
        <v>3</v>
      </c>
      <c r="B7" s="20">
        <f>SUMIF(AHL!2:2,"au",AHL!1:1)</f>
        <v>393</v>
      </c>
      <c r="C7">
        <f>SUM(AHL!AL1,AHL!AU1,AHL!BA1,AHL!BD1,AHL!BE1,AHL!BF1,AHL!BG1,AHL!BM1)</f>
        <v>93</v>
      </c>
      <c r="E7" s="21" t="s">
        <v>384</v>
      </c>
      <c r="F7" s="22">
        <v>3</v>
      </c>
      <c r="G7" s="23">
        <f t="shared" ref="G7:G9" si="1">F7/13</f>
        <v>0.23076923076923078</v>
      </c>
      <c r="H7" s="24">
        <f>(B5+B4)/B3</f>
        <v>0.17543859649122806</v>
      </c>
      <c r="I7" s="16">
        <f>C2*G7</f>
        <v>210.46153846153848</v>
      </c>
      <c r="J7">
        <f>B4+B5</f>
        <v>160</v>
      </c>
      <c r="K7" s="17">
        <f>J7-I7</f>
        <v>-50.461538461538481</v>
      </c>
      <c r="L7" s="18">
        <f>K7/4</f>
        <v>-12.61538461538462</v>
      </c>
    </row>
    <row r="8" spans="1:12" ht="15.75" customHeight="1" x14ac:dyDescent="0.25">
      <c r="A8" s="25" t="s">
        <v>385</v>
      </c>
      <c r="C8">
        <f>SUM(C4:C7)</f>
        <v>112</v>
      </c>
      <c r="E8" s="26" t="s">
        <v>386</v>
      </c>
      <c r="F8" s="27">
        <v>6</v>
      </c>
      <c r="G8" s="28">
        <f t="shared" si="1"/>
        <v>0.46153846153846156</v>
      </c>
      <c r="H8" s="29">
        <f>B6/B3</f>
        <v>0.39364035087719296</v>
      </c>
      <c r="I8" s="16">
        <f>C2*G8</f>
        <v>420.92307692307696</v>
      </c>
      <c r="J8">
        <f>B6</f>
        <v>359</v>
      </c>
      <c r="K8" s="17">
        <f>J8-I8</f>
        <v>-61.923076923076962</v>
      </c>
      <c r="L8" s="18">
        <f>K8/4</f>
        <v>-15.480769230769241</v>
      </c>
    </row>
    <row r="9" spans="1:12" ht="15.75" customHeight="1" x14ac:dyDescent="0.25">
      <c r="A9" t="s">
        <v>387</v>
      </c>
      <c r="B9">
        <f>SUM(B4:B7)</f>
        <v>912</v>
      </c>
      <c r="E9" s="26" t="s">
        <v>388</v>
      </c>
      <c r="F9" s="27">
        <v>4</v>
      </c>
      <c r="G9" s="28">
        <f t="shared" si="1"/>
        <v>0.30769230769230771</v>
      </c>
      <c r="H9" s="29">
        <f>B7/B3</f>
        <v>0.43092105263157893</v>
      </c>
      <c r="I9" s="16">
        <f>C2*G9</f>
        <v>280.61538461538464</v>
      </c>
      <c r="J9">
        <f>B7</f>
        <v>393</v>
      </c>
      <c r="K9" s="30">
        <f>J9-I9</f>
        <v>112.38461538461536</v>
      </c>
      <c r="L9" s="18">
        <f>K9/4</f>
        <v>28.09615384615384</v>
      </c>
    </row>
    <row r="11" spans="1:12" x14ac:dyDescent="0.25">
      <c r="H11" s="31" t="s">
        <v>389</v>
      </c>
      <c r="I11" s="32">
        <f>SUM(I7:I9)</f>
        <v>912.00000000000011</v>
      </c>
      <c r="J11" s="26">
        <f>SUM(J7:J9)</f>
        <v>912</v>
      </c>
      <c r="K11" s="33">
        <f>SUM(K7:K9)</f>
        <v>0</v>
      </c>
      <c r="L11" s="34">
        <f>SUM(L7:L9)</f>
        <v>0</v>
      </c>
    </row>
    <row r="16" spans="1:12" ht="15.75" customHeight="1" x14ac:dyDescent="0.25">
      <c r="E16" t="s">
        <v>393</v>
      </c>
      <c r="F16" t="s">
        <v>377</v>
      </c>
      <c r="G16" t="s">
        <v>390</v>
      </c>
      <c r="H16" t="s">
        <v>379</v>
      </c>
      <c r="I16" s="35" t="s">
        <v>380</v>
      </c>
      <c r="J16" s="35" t="s">
        <v>381</v>
      </c>
      <c r="K16" t="s">
        <v>382</v>
      </c>
      <c r="L16" t="s">
        <v>383</v>
      </c>
    </row>
    <row r="17" spans="5:17" x14ac:dyDescent="0.25">
      <c r="E17" s="36" t="s">
        <v>384</v>
      </c>
      <c r="F17" s="37">
        <v>3</v>
      </c>
      <c r="G17" s="38">
        <f t="shared" ref="G17:G19" si="2">F17/13</f>
        <v>0.23076923076923078</v>
      </c>
      <c r="H17" s="39">
        <f>(B5+B4)/B3</f>
        <v>0.17543859649122806</v>
      </c>
      <c r="I17" s="40">
        <f>B3*G17</f>
        <v>210.46153846153848</v>
      </c>
      <c r="J17" s="41">
        <f>B5+B4</f>
        <v>160</v>
      </c>
      <c r="K17" s="42">
        <f>J17-I17</f>
        <v>-50.461538461538481</v>
      </c>
      <c r="L17" s="18">
        <f>K17/4</f>
        <v>-12.61538461538462</v>
      </c>
    </row>
    <row r="18" spans="5:17" x14ac:dyDescent="0.25">
      <c r="E18" s="43" t="s">
        <v>386</v>
      </c>
      <c r="F18" s="44">
        <v>6</v>
      </c>
      <c r="G18" s="45">
        <f t="shared" si="2"/>
        <v>0.46153846153846156</v>
      </c>
      <c r="H18" s="46">
        <f>B6/B3</f>
        <v>0.39364035087719296</v>
      </c>
      <c r="I18" s="47">
        <f>B3*G18</f>
        <v>420.92307692307696</v>
      </c>
      <c r="J18" s="48">
        <f>B6</f>
        <v>359</v>
      </c>
      <c r="K18" s="49">
        <f>J18-I18</f>
        <v>-61.923076923076962</v>
      </c>
      <c r="L18" s="18">
        <f>K18/4</f>
        <v>-15.480769230769241</v>
      </c>
      <c r="Q18" s="50"/>
    </row>
    <row r="19" spans="5:17" ht="15.75" customHeight="1" x14ac:dyDescent="0.25">
      <c r="E19" s="51" t="s">
        <v>388</v>
      </c>
      <c r="F19" s="52">
        <v>4</v>
      </c>
      <c r="G19" s="53">
        <f t="shared" si="2"/>
        <v>0.30769230769230771</v>
      </c>
      <c r="H19" s="54">
        <f>B7/B3</f>
        <v>0.43092105263157893</v>
      </c>
      <c r="I19" s="55">
        <f>B3*G19</f>
        <v>280.61538461538464</v>
      </c>
      <c r="J19" s="56">
        <f>B7</f>
        <v>393</v>
      </c>
      <c r="K19" s="57">
        <f>J19-I19</f>
        <v>112.38461538461536</v>
      </c>
      <c r="L19" s="18">
        <f>K19/4</f>
        <v>28.09615384615384</v>
      </c>
    </row>
    <row r="21" spans="5:17" ht="46.5" customHeight="1" x14ac:dyDescent="0.7">
      <c r="E21" s="66" t="s">
        <v>391</v>
      </c>
      <c r="F21" s="66"/>
      <c r="G21" s="66"/>
      <c r="H21" s="66"/>
      <c r="I21" s="66"/>
      <c r="J21" s="66"/>
      <c r="K21" s="66"/>
    </row>
    <row r="22" spans="5:17" ht="15.75" customHeight="1" x14ac:dyDescent="0.25">
      <c r="F22" t="s">
        <v>377</v>
      </c>
      <c r="G22" t="s">
        <v>390</v>
      </c>
      <c r="H22" t="s">
        <v>379</v>
      </c>
      <c r="I22" s="35" t="s">
        <v>380</v>
      </c>
      <c r="J22" s="35" t="s">
        <v>381</v>
      </c>
      <c r="K22" t="s">
        <v>382</v>
      </c>
    </row>
    <row r="23" spans="5:17" x14ac:dyDescent="0.25">
      <c r="E23" s="36" t="s">
        <v>384</v>
      </c>
      <c r="F23" s="37">
        <v>3</v>
      </c>
      <c r="G23" s="38">
        <f t="shared" ref="G23:G25" si="3">F23/13</f>
        <v>0.23076923076923078</v>
      </c>
      <c r="H23" s="39">
        <f>(B4+B5-C4)/(B3-C8)</f>
        <v>0.1825</v>
      </c>
      <c r="I23" s="40">
        <f>(B3-C8) *G23</f>
        <v>184.61538461538461</v>
      </c>
      <c r="J23" s="41">
        <f>B4+B5-C4</f>
        <v>146</v>
      </c>
      <c r="K23" s="42">
        <f>J23-I23</f>
        <v>-38.615384615384613</v>
      </c>
    </row>
    <row r="24" spans="5:17" ht="15.75" customHeight="1" x14ac:dyDescent="0.25">
      <c r="E24" s="43" t="s">
        <v>386</v>
      </c>
      <c r="F24" s="44">
        <v>6</v>
      </c>
      <c r="G24" s="45">
        <f t="shared" si="3"/>
        <v>0.46153846153846156</v>
      </c>
      <c r="H24" s="46">
        <f>(B6-C4)/(B3-C8)</f>
        <v>0.43125000000000002</v>
      </c>
      <c r="I24" s="47">
        <f>(B3-C8)*G24</f>
        <v>369.23076923076923</v>
      </c>
      <c r="J24" s="48">
        <f>B6-C6</f>
        <v>354</v>
      </c>
      <c r="K24" s="49">
        <f>J24-I24</f>
        <v>-15.230769230769226</v>
      </c>
    </row>
    <row r="25" spans="5:17" ht="16.5" customHeight="1" x14ac:dyDescent="0.25">
      <c r="E25" s="51" t="s">
        <v>388</v>
      </c>
      <c r="F25" s="52">
        <v>4</v>
      </c>
      <c r="G25" s="53">
        <f t="shared" si="3"/>
        <v>0.30769230769230771</v>
      </c>
      <c r="H25" s="54">
        <f>(B7-C7)/(B3-C8)</f>
        <v>0.375</v>
      </c>
      <c r="I25" s="55">
        <f>(B3-C8)*G25</f>
        <v>246.15384615384616</v>
      </c>
      <c r="J25" s="56">
        <f>B7-C7</f>
        <v>300</v>
      </c>
      <c r="K25" s="57">
        <f>J25-I25</f>
        <v>53.84615384615384</v>
      </c>
    </row>
    <row r="26" spans="5:17" x14ac:dyDescent="0.25">
      <c r="E26" s="5" t="s">
        <v>392</v>
      </c>
      <c r="F26" s="5"/>
      <c r="G26" s="5"/>
      <c r="H26" s="58">
        <f>C8/B9</f>
        <v>0.12280701754385964</v>
      </c>
      <c r="I26" s="5"/>
      <c r="J26" s="59">
        <f>C8</f>
        <v>112</v>
      </c>
      <c r="K26" s="5"/>
    </row>
    <row r="28" spans="5:17" ht="15.75" customHeight="1" x14ac:dyDescent="0.25">
      <c r="H28" t="s">
        <v>389</v>
      </c>
      <c r="J28">
        <f>SUM(J23:J26)</f>
        <v>912</v>
      </c>
      <c r="K28" s="60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2025-01-07T14:18:28Z</dcterms:modified>
</cp:coreProperties>
</file>