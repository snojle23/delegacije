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6101AE1B-C0FC-4FCB-8119-D5605F5357B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5" l="1"/>
  <c r="F17" i="5"/>
  <c r="H17" i="5" s="1"/>
  <c r="H16" i="5"/>
  <c r="H15" i="5"/>
  <c r="H14" i="5"/>
  <c r="G9" i="5"/>
  <c r="G8" i="5"/>
  <c r="G7" i="5"/>
  <c r="G6" i="5"/>
  <c r="G5" i="5"/>
  <c r="B5" i="5"/>
  <c r="J6" i="5" s="1"/>
  <c r="B3" i="5"/>
  <c r="C1" i="5"/>
  <c r="C2" i="5" s="1"/>
  <c r="BH1" i="1"/>
  <c r="BG1" i="1"/>
  <c r="BF1" i="1"/>
  <c r="BE1" i="1"/>
  <c r="BD1" i="1"/>
  <c r="BC1" i="1"/>
  <c r="BB1" i="1"/>
  <c r="BA1" i="1"/>
  <c r="C7" i="5" s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C4" i="5" s="1"/>
  <c r="AG1" i="1"/>
  <c r="AF1" i="1"/>
  <c r="AE1" i="1"/>
  <c r="AD1" i="1"/>
  <c r="AC1" i="1"/>
  <c r="AB1" i="1"/>
  <c r="C6" i="5" s="1"/>
  <c r="AA1" i="1"/>
  <c r="B6" i="5" s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7" i="5" l="1"/>
  <c r="H9" i="5" s="1"/>
  <c r="B4" i="5"/>
  <c r="H8" i="5"/>
  <c r="C8" i="5"/>
  <c r="I8" i="5"/>
  <c r="I6" i="5"/>
  <c r="K6" i="5" s="1"/>
  <c r="L6" i="5" s="1"/>
  <c r="I5" i="5"/>
  <c r="I9" i="5"/>
  <c r="I7" i="5"/>
  <c r="J17" i="5"/>
  <c r="B13" i="5"/>
  <c r="J8" i="5"/>
  <c r="J15" i="5"/>
  <c r="H6" i="5"/>
  <c r="B9" i="5" l="1"/>
  <c r="J9" i="5"/>
  <c r="K9" i="5" s="1"/>
  <c r="L9" i="5" s="1"/>
  <c r="J14" i="5"/>
  <c r="J5" i="5"/>
  <c r="K5" i="5" s="1"/>
  <c r="L5" i="5" s="1"/>
  <c r="J16" i="5"/>
  <c r="H5" i="5"/>
  <c r="H7" i="5"/>
  <c r="J7" i="5"/>
  <c r="K7" i="5" s="1"/>
  <c r="K8" i="5"/>
  <c r="L8" i="5" s="1"/>
  <c r="I11" i="5"/>
  <c r="J11" i="5" l="1"/>
  <c r="K11" i="5"/>
  <c r="L7" i="5"/>
  <c r="L11" i="5" s="1"/>
</calcChain>
</file>

<file path=xl/sharedStrings.xml><?xml version="1.0" encoding="utf-8"?>
<sst xmlns="http://schemas.openxmlformats.org/spreadsheetml/2006/main" count="2413" uniqueCount="394">
  <si>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</si>
  <si>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</si>
  <si>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</si>
  <si>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</si>
  <si>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</si>
  <si>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</si>
  <si>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</si>
  <si>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</si>
  <si>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</si>
  <si>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</si>
  <si>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</si>
  <si>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</si>
  <si>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</si>
  <si>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</si>
  <si>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</si>
  <si>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</si>
  <si>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</si>
  <si>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</si>
  <si>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</si>
  <si>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</si>
  <si>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</si>
  <si>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</si>
  <si>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</si>
  <si>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</si>
  <si>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</si>
  <si>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</si>
  <si>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</si>
  <si>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</si>
  <si>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</si>
  <si>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</si>
  <si>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</si>
  <si>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</si>
  <si>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</si>
  <si>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</si>
  <si>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</si>
  <si>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</si>
  <si>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</si>
  <si>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</si>
  <si>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</si>
  <si>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</si>
  <si>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</si>
  <si>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</si>
  <si>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</si>
  <si>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</si>
  <si>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</si>
  <si>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</si>
  <si>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</si>
  <si>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</si>
  <si>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</si>
  <si>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</si>
  <si>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</si>
  <si>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</si>
  <si>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</si>
  <si>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</si>
  <si>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</si>
  <si>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</si>
  <si>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</si>
  <si>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</si>
  <si>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</si>
  <si>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</si>
  <si>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</si>
  <si>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</si>
  <si>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</si>
  <si>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</si>
  <si>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</si>
  <si>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</si>
  <si>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</si>
  <si>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</si>
  <si>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</si>
  <si>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</si>
  <si>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</si>
  <si>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</si>
  <si>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</si>
  <si>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</si>
  <si>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</si>
  <si>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</si>
  <si>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</si>
  <si>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</si>
  <si>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</si>
  <si>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</si>
  <si>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</si>
  <si>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</si>
  <si>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</si>
  <si>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</si>
  <si>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</si>
  <si>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</si>
  <si>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</si>
  <si>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</si>
  <si>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</si>
  <si>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</si>
  <si>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</si>
  <si>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</si>
  <si>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</si>
  <si>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</si>
  <si>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</si>
  <si>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</si>
  <si>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</si>
  <si>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</si>
  <si>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</si>
  <si>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</si>
  <si>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</si>
  <si>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</si>
  <si>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</si>
  <si>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2026-01-29</t>
  </si>
  <si>
    <t>2026-01-31</t>
  </si>
  <si>
    <t>2025-10-26</t>
  </si>
  <si>
    <t>2025-11-12</t>
  </si>
  <si>
    <t>2026-01-04</t>
  </si>
  <si>
    <t>2025-11-08</t>
  </si>
  <si>
    <t>2025-11-25</t>
  </si>
  <si>
    <t>2025-11-09</t>
  </si>
  <si>
    <t>2025-11-07</t>
  </si>
  <si>
    <t>2025-11-23</t>
  </si>
  <si>
    <t>2025-11-05</t>
  </si>
  <si>
    <t>2025-10-29</t>
  </si>
  <si>
    <t>2025-12-13</t>
  </si>
  <si>
    <t>2026-01-24</t>
  </si>
  <si>
    <t>2025-12-16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</si>
  <si>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</si>
  <si>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</si>
  <si>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</si>
  <si>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</si>
  <si>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</si>
  <si>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</si>
  <si>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</si>
  <si>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2025-12-03</t>
  </si>
  <si>
    <t>2026-01-17</t>
  </si>
  <si>
    <t>2026-01-10</t>
  </si>
  <si>
    <t>2026-01-27</t>
  </si>
  <si>
    <t>2025-12-10</t>
  </si>
  <si>
    <t>2026-01-14</t>
  </si>
  <si>
    <t>2026-02-01</t>
  </si>
  <si>
    <t>2026-01-20</t>
  </si>
  <si>
    <t>2026-01-11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</si>
  <si>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</si>
  <si>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</si>
  <si>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</si>
  <si>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</si>
  <si>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</si>
  <si>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</si>
  <si>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</si>
  <si>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</si>
  <si>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</si>
  <si>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</si>
  <si>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</si>
  <si>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</si>
  <si>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</si>
  <si>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</si>
  <si>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</si>
  <si>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</si>
  <si>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</si>
  <si>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</si>
  <si>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</si>
  <si>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</si>
  <si>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</si>
  <si>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</si>
  <si>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</si>
  <si>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</si>
  <si>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</si>
  <si>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</si>
  <si>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</si>
  <si>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</si>
  <si>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</si>
  <si>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</si>
  <si>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</si>
  <si>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</si>
  <si>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</si>
  <si>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</si>
  <si>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</si>
  <si>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</si>
  <si>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</si>
  <si>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</si>
  <si>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</si>
  <si>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</si>
  <si>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</si>
  <si>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</si>
  <si>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</si>
  <si>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</si>
  <si>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</si>
  <si>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</si>
  <si>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</si>
  <si>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</si>
  <si>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</si>
  <si>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</si>
  <si>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</si>
  <si>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</si>
  <si>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</si>
  <si>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</si>
  <si>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</si>
  <si>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</si>
  <si>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</si>
  <si>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</si>
  <si>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Salzburg;HlavatyAl;VoicanCh;PreiserJu;ZacherlPa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</si>
  <si>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</si>
  <si>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</si>
  <si>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</si>
  <si>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Eishalle Dornbirn;MoschenAn;WinklerDa;CristeliMa;RinkerDa</t>
  </si>
  <si>
    <t>Eishalle Ritten;BergantAn;Huber rRe;ArlicMa;RinkerDa</t>
  </si>
  <si>
    <t>Eishalle Sissek Zibel;LebenJa;MetzingerFi;LegatKo;WendnerMa</t>
  </si>
  <si>
    <t>Eishalle Sterzing;SpiegelSe;VirtaTu;BrondiPa;StrimitzerDa</t>
  </si>
  <si>
    <t>Eisarena Salzburg;HlavatyAl;WidmannFl;Dummermuth-haasEl;WuchererGe</t>
  </si>
  <si>
    <t>Eishalle Jesenice;BrockAd;LebenJa;BergeljNi;ZacherlPa</t>
  </si>
  <si>
    <t>Eishalle Sissek Zibel;OrelSt;UnterwegerDo;LegatKo;WuchererGe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</si>
  <si>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</si>
  <si>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</si>
  <si>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</si>
  <si>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</si>
  <si>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</si>
  <si>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</si>
  <si>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</si>
  <si>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</si>
  <si>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</si>
  <si>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</si>
  <si>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</si>
  <si>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</si>
  <si>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</si>
  <si>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</si>
  <si>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</si>
  <si>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</si>
  <si>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</si>
  <si>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</si>
  <si>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</si>
  <si>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</si>
  <si>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</si>
  <si>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</si>
  <si>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</si>
  <si>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</si>
  <si>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</si>
  <si>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</si>
  <si>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</si>
  <si>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</si>
  <si>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</si>
  <si>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</si>
  <si>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Asiago;PinieOm;StefenelliFe;BrondiMa;FecchioFe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</si>
  <si>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</si>
  <si>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</si>
  <si>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</si>
  <si>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</si>
  <si>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</si>
  <si>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</si>
  <si>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</si>
  <si>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</si>
  <si>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Würtharena Neumarkt;LazzeriAl;VirtaTu;BrondiMa;FecchioFe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</si>
  <si>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</si>
  <si>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</si>
  <si>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</si>
  <si>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Ritten;GiacomozziFe;RuetzMa;BrondiMa;DivisDo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</si>
  <si>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</si>
  <si>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</si>
  <si>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</si>
  <si>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</si>
  <si>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</si>
  <si>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</si>
  <si>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</si>
  <si>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</si>
  <si>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</si>
  <si>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</si>
  <si>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</si>
  <si>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</si>
  <si>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</si>
  <si>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</si>
  <si>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</si>
  <si>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</si>
  <si>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</si>
  <si>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</si>
  <si>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</si>
  <si>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</si>
  <si>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</si>
  <si>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</si>
  <si>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</si>
  <si>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</si>
  <si>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</si>
  <si>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</si>
  <si>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</si>
  <si>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</si>
  <si>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</si>
  <si>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</si>
  <si>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</si>
  <si>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Meran;GiacomozziFe;PinieOm;BrondiPa;CristeliMa</t>
  </si>
  <si>
    <t>Eishalle Dornbirn;HolzerTo;SpiegelSe;DivisDo;StrimitzerDa</t>
  </si>
  <si>
    <t>Eishalle Sterzing;OrelSt;UnterwegerDo;AbeltinoSi;WuchererGe</t>
  </si>
  <si>
    <t>KELIT Arena Zell am See;BrockAd;WinklerDa;Steiner fFe;VeselkaMa</t>
  </si>
  <si>
    <t>Eishalle Sterzing;GiacomozziFe;RivisFe;IlmerNo;RivisAn</t>
  </si>
  <si>
    <t>Eishalle Sissek Zibel;SnojTa;VoicanCh;MiklicGr;PreiserJu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</si>
  <si>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</si>
  <si>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</si>
  <si>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</si>
  <si>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</si>
  <si>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</si>
  <si>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</si>
  <si>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</si>
  <si>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</si>
  <si>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</si>
  <si>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</si>
  <si>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</si>
  <si>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</si>
  <si>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</si>
  <si>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</si>
  <si>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</si>
  <si>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</si>
  <si>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</si>
  <si>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</si>
  <si>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</si>
  <si>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</si>
  <si>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</si>
  <si>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</si>
  <si>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</si>
  <si>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</si>
  <si>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</si>
  <si>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</si>
  <si>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</si>
  <si>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</si>
  <si>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</si>
  <si>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Eishalle Asiago;SnojTa;StefenelliFe;MiklicGr;RivisAn</t>
  </si>
  <si>
    <t>Würtharena Neumarkt;GiacomozziFe;SoraperraSi;CalloviniAn;RivisAn</t>
  </si>
  <si>
    <t>Eishalle Dornbirn;HolzerTo;Huber rRe;SeewaldJe;ZacherlPa</t>
  </si>
  <si>
    <t>Eishalle Gröden;BenvegnuAn;LazzeriAl;AbeltinoSi;BrondiPa</t>
  </si>
  <si>
    <t>Würtharena Neumarkt;PirasAn;StefenelliFe;Steiner fFe;VeselkaMa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</si>
  <si>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</si>
  <si>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</si>
  <si>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</si>
  <si>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</si>
  <si>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</si>
  <si>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</si>
  <si>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</si>
  <si>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</si>
  <si>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</si>
  <si>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</si>
  <si>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</si>
  <si>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</si>
  <si>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</si>
  <si>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</si>
  <si>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</si>
  <si>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</si>
  <si>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</si>
  <si>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</si>
  <si>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</si>
  <si>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</si>
  <si>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</si>
  <si>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</si>
  <si>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</si>
  <si>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See;BrockAd;VirtaTu;BrondiMa;SeewaldJe</t>
  </si>
  <si>
    <t>Sportpark Kitzbühel;UnterwegerDo;WinklerDa;MarkizetiGr;WuchererGe</t>
  </si>
  <si>
    <t>Eishalle Pieve di Cadore;LazzeriAl;PirasAn;CusinFe;FecchioFe</t>
  </si>
  <si>
    <t>Eishalle Pieve di Cadore;BergantAn;MoschenAn;CristeliMa;CusinFe</t>
  </si>
  <si>
    <t>Eishalle Dornbirn;BenvegnuAn;WinklerDa;GrisentiLu;StrimitzerDa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</si>
  <si>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</si>
  <si>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</si>
  <si>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</si>
  <si>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</si>
  <si>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</si>
  <si>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</si>
  <si>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</si>
  <si>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</si>
  <si>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</si>
  <si>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</si>
  <si>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Gröden;GiacomozziFe;Huber rRe;RinkerDa;RivisAn</t>
  </si>
  <si>
    <t>Eishalle Pieve di Cadore;LazzeriAl;VirtaTu;BrondiMa;CristeliMa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</si>
  <si>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</si>
  <si>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</si>
  <si>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</si>
  <si>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</si>
  <si>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Meran;BulovecMi;MetzingerFi;FleischmannLu;MarkizetiGr</t>
  </si>
  <si>
    <t>Eishalle Gröden;MoschenAn;PinieOm;JeramFi;MurnikPe</t>
  </si>
  <si>
    <t>Eishalle Pieve di Cadore;LazzeriAl;PinieOm;BrondiPa;CristeliMa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</si>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</sst>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2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3"/>
  <sheetViews>
    <sheetView zoomScaleNormal="100" workbookViewId="0">
      <selection activeCell="A18" sqref="A18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0" ht="14.45" customHeight="1" x14ac:dyDescent="0.25">
      <c r="A1">
        <f>COUNTIF(A4:A36,"&lt;&gt;")</f>
        <v>20</v>
      </c>
      <c r="B1">
        <f>COUNTIF(B4:B32,"&lt;&gt;")</f>
        <v>19</v>
      </c>
      <c r="C1">
        <f>COUNTIF(C4:C34,"&lt;&gt;")</f>
        <v>18</v>
      </c>
      <c r="D1">
        <f>COUNTIF(D4:D34,"&lt;&gt;")</f>
        <v>16</v>
      </c>
      <c r="E1">
        <f>COUNTIF(E4:E32,"&lt;&gt;")</f>
        <v>15</v>
      </c>
      <c r="F1">
        <f>COUNTIF(F4:F34,"&lt;&gt;")</f>
        <v>10</v>
      </c>
      <c r="G1">
        <f>COUNTIF(G4:G32,"&lt;&gt;")</f>
        <v>15</v>
      </c>
      <c r="H1">
        <f>COUNTIF(H4:H33,"&lt;&gt;")</f>
        <v>17</v>
      </c>
      <c r="I1">
        <f>COUNTIF(I4:I36,"&lt;&gt;")</f>
        <v>13</v>
      </c>
      <c r="J1">
        <f>COUNTIF(J4:J36,"&lt;&gt;")</f>
        <v>16</v>
      </c>
      <c r="K1">
        <f t="shared" ref="K1:AW1" si="0">COUNTIF(K4:K37,"&lt;&gt;")</f>
        <v>3</v>
      </c>
      <c r="L1">
        <f t="shared" si="0"/>
        <v>5</v>
      </c>
      <c r="M1">
        <f>COUNTIF(M4:M34,"&lt;&gt;")</f>
        <v>22</v>
      </c>
      <c r="N1">
        <f>COUNTIF(N4:N31,"&lt;&gt;")</f>
        <v>18</v>
      </c>
      <c r="O1">
        <f>COUNTIF(O4:O35,"&lt;&gt;")</f>
        <v>20</v>
      </c>
      <c r="P1">
        <f>COUNTIF(P4:P32,"&lt;&gt;")</f>
        <v>22</v>
      </c>
      <c r="Q1">
        <f>COUNTIF(Q4:Q33,"&lt;&gt;")</f>
        <v>20</v>
      </c>
      <c r="R1">
        <f>COUNTIF(R4:R30,"&lt;&gt;")</f>
        <v>20</v>
      </c>
      <c r="S1">
        <f>COUNTIF(S4:S30,"&lt;&gt;")</f>
        <v>14</v>
      </c>
      <c r="T1">
        <f t="shared" si="0"/>
        <v>22</v>
      </c>
      <c r="U1">
        <f>COUNTIF(U4:U30,"&lt;&gt;")</f>
        <v>19</v>
      </c>
      <c r="V1">
        <f t="shared" si="0"/>
        <v>19</v>
      </c>
      <c r="W1">
        <f>COUNTIF(W4:W36,"&lt;&gt;")</f>
        <v>19</v>
      </c>
      <c r="X1">
        <f>COUNTIF(X4:X35,"&lt;&gt;")</f>
        <v>19</v>
      </c>
      <c r="Y1">
        <f>COUNTIF(Y4:Y35,"&lt;&gt;")</f>
        <v>25</v>
      </c>
      <c r="Z1">
        <f>COUNTIF(Z4:Z34,"&lt;&gt;")</f>
        <v>21</v>
      </c>
      <c r="AA1">
        <f>COUNTIF(AA4:AA29,"&lt;&gt;")</f>
        <v>20</v>
      </c>
      <c r="AB1">
        <f>COUNTIF(AB4:AB33,"&lt;&gt;")</f>
        <v>20</v>
      </c>
      <c r="AC1">
        <f>COUNTIF(AC4:AC35,"&lt;&gt;")</f>
        <v>18</v>
      </c>
      <c r="AD1">
        <f>COUNTIF(AD4:AD35,"&lt;&gt;")</f>
        <v>12</v>
      </c>
      <c r="AE1">
        <f t="shared" ref="AE1" si="1">COUNTIF(AE4:AE37,"&lt;&gt;")</f>
        <v>4</v>
      </c>
      <c r="AF1">
        <f t="shared" ref="AF1" si="2">COUNTIF(AF4:AF37,"&lt;&gt;")</f>
        <v>3</v>
      </c>
      <c r="AG1">
        <f>COUNTIF(AG4:AG34,"&lt;&gt;")</f>
        <v>18</v>
      </c>
      <c r="AH1">
        <f t="shared" si="0"/>
        <v>11</v>
      </c>
      <c r="AI1">
        <f>COUNTIF(AI4:AI33,"&lt;&gt;")</f>
        <v>27</v>
      </c>
      <c r="AJ1">
        <f>COUNTIF(AJ4:AJ35,"&lt;&gt;")</f>
        <v>23</v>
      </c>
      <c r="AK1">
        <f>COUNTIF(AK4:AK34,"&lt;&gt;")</f>
        <v>16</v>
      </c>
      <c r="AL1">
        <f t="shared" si="0"/>
        <v>28</v>
      </c>
      <c r="AM1">
        <f>COUNTIF(AM4:AM36,"&lt;&gt;")</f>
        <v>25</v>
      </c>
      <c r="AN1">
        <f>COUNTIF(AN4:AN36,"&lt;&gt;")</f>
        <v>19</v>
      </c>
      <c r="AO1">
        <f>COUNTIF(AO4:AO36,"&lt;&gt;")</f>
        <v>18</v>
      </c>
      <c r="AP1">
        <f>COUNTIF(AP4:AP35,"&lt;&gt;")</f>
        <v>26</v>
      </c>
      <c r="AQ1">
        <f>COUNTIF(AQ4:AQ33,"&lt;&gt;")</f>
        <v>24</v>
      </c>
      <c r="AR1">
        <f t="shared" si="0"/>
        <v>22</v>
      </c>
      <c r="AS1">
        <f t="shared" si="0"/>
        <v>21</v>
      </c>
      <c r="AT1">
        <f>COUNTIF(AT4:AT34,"&lt;&gt;")</f>
        <v>19</v>
      </c>
      <c r="AU1">
        <f>COUNTIF(AU4:AU34,"&lt;&gt;")</f>
        <v>23</v>
      </c>
      <c r="AV1">
        <f>COUNTIF(AV4:AV31,"&lt;&gt;")</f>
        <v>12</v>
      </c>
      <c r="AW1">
        <f t="shared" si="0"/>
        <v>13</v>
      </c>
      <c r="AX1">
        <f>COUNTIF(AX4:AX33,"&lt;&gt;")</f>
        <v>12</v>
      </c>
      <c r="AY1">
        <f>COUNTIF(AY4:AY34,"&lt;&gt;")</f>
        <v>13</v>
      </c>
      <c r="AZ1">
        <f>COUNTIF(AZ4:AZ31,"&lt;&gt;")</f>
        <v>16</v>
      </c>
      <c r="BA1">
        <f>COUNTIF(BA4:BA28,"&lt;&gt;")</f>
        <v>7</v>
      </c>
      <c r="BB1">
        <f>COUNTIF(BB4:BB35,"&lt;&gt;")</f>
        <v>8</v>
      </c>
      <c r="BC1">
        <f>COUNTIF(BC4:BC35,"&lt;&gt;")</f>
        <v>4</v>
      </c>
      <c r="BD1">
        <f>COUNTIF(BD4:BD35,"&lt;&gt;")</f>
        <v>3</v>
      </c>
      <c r="BE1">
        <f t="shared" ref="BE1:BG1" si="3">COUNTIF(BE4:BE37,"&lt;&gt;")</f>
        <v>5</v>
      </c>
      <c r="BF1">
        <f t="shared" ref="BF1" si="4">COUNTIF(BF4:BF35,"&lt;&gt;")</f>
        <v>1</v>
      </c>
      <c r="BG1">
        <f t="shared" si="3"/>
        <v>1</v>
      </c>
      <c r="BH1">
        <f t="shared" ref="BH1" si="5">COUNTIF(BH4:BH35,"&lt;&gt;")</f>
        <v>1</v>
      </c>
    </row>
    <row r="2" spans="1:60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spans="1:60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spans="1:60" ht="15" customHeight="1" x14ac:dyDescent="0.25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t="s">
        <v>78</v>
      </c>
      <c r="BG4" t="s">
        <v>78</v>
      </c>
      <c r="BH4" t="s">
        <v>78</v>
      </c>
    </row>
    <row r="5" spans="1:60" ht="15" customHeight="1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spans="1:60" ht="15" customHeight="1" x14ac:dyDescent="0.25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F6" t="s">
        <v>91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92</v>
      </c>
      <c r="AO6" t="s">
        <v>93</v>
      </c>
      <c r="AP6" t="s">
        <v>70</v>
      </c>
      <c r="AQ6" t="s">
        <v>74</v>
      </c>
      <c r="AR6" t="s">
        <v>82</v>
      </c>
      <c r="AS6" t="s">
        <v>92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93</v>
      </c>
      <c r="AZ6" t="s">
        <v>94</v>
      </c>
      <c r="BA6" t="s">
        <v>95</v>
      </c>
      <c r="BB6" t="s">
        <v>96</v>
      </c>
      <c r="BC6" t="s">
        <v>97</v>
      </c>
      <c r="BD6" t="s">
        <v>78</v>
      </c>
      <c r="BE6" t="s">
        <v>98</v>
      </c>
    </row>
    <row r="7" spans="1:60" ht="15" customHeight="1" x14ac:dyDescent="0.25">
      <c r="A7" t="s">
        <v>70</v>
      </c>
      <c r="B7" t="s">
        <v>92</v>
      </c>
      <c r="C7" t="s">
        <v>70</v>
      </c>
      <c r="D7" t="s">
        <v>70</v>
      </c>
      <c r="E7" t="s">
        <v>65</v>
      </c>
      <c r="F7" t="s">
        <v>92</v>
      </c>
      <c r="G7" t="s">
        <v>76</v>
      </c>
      <c r="H7" t="s">
        <v>76</v>
      </c>
      <c r="I7" t="s">
        <v>94</v>
      </c>
      <c r="J7" t="s">
        <v>66</v>
      </c>
      <c r="L7" t="s">
        <v>99</v>
      </c>
      <c r="M7" t="s">
        <v>92</v>
      </c>
      <c r="N7" t="s">
        <v>70</v>
      </c>
      <c r="O7" t="s">
        <v>70</v>
      </c>
      <c r="P7" t="s">
        <v>74</v>
      </c>
      <c r="Q7" t="s">
        <v>80</v>
      </c>
      <c r="R7" t="s">
        <v>92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100</v>
      </c>
      <c r="AE7" t="s">
        <v>91</v>
      </c>
      <c r="AG7" t="s">
        <v>66</v>
      </c>
      <c r="AH7" t="s">
        <v>101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94</v>
      </c>
      <c r="AY7" t="s">
        <v>89</v>
      </c>
      <c r="AZ7" t="s">
        <v>83</v>
      </c>
      <c r="BA7" t="s">
        <v>78</v>
      </c>
      <c r="BB7" t="s">
        <v>102</v>
      </c>
      <c r="BC7" t="s">
        <v>103</v>
      </c>
      <c r="BE7" t="s">
        <v>103</v>
      </c>
    </row>
    <row r="8" spans="1:60" ht="15" customHeight="1" x14ac:dyDescent="0.25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94</v>
      </c>
      <c r="H8" t="s">
        <v>94</v>
      </c>
      <c r="I8" t="s">
        <v>89</v>
      </c>
      <c r="J8" t="s">
        <v>90</v>
      </c>
      <c r="L8" t="s">
        <v>104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92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92</v>
      </c>
      <c r="AB8" t="s">
        <v>70</v>
      </c>
      <c r="AC8" t="s">
        <v>94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105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106</v>
      </c>
      <c r="AW8" t="s">
        <v>67</v>
      </c>
      <c r="AX8" t="s">
        <v>89</v>
      </c>
      <c r="AY8" t="s">
        <v>79</v>
      </c>
      <c r="AZ8" t="s">
        <v>67</v>
      </c>
      <c r="BA8" t="s">
        <v>99</v>
      </c>
      <c r="BB8" t="s">
        <v>107</v>
      </c>
      <c r="BE8" t="s">
        <v>97</v>
      </c>
    </row>
    <row r="9" spans="1:60" ht="15" customHeight="1" x14ac:dyDescent="0.25">
      <c r="A9" t="s">
        <v>67</v>
      </c>
      <c r="B9" t="s">
        <v>105</v>
      </c>
      <c r="C9" t="s">
        <v>75</v>
      </c>
      <c r="D9" t="s">
        <v>90</v>
      </c>
      <c r="E9" t="s">
        <v>75</v>
      </c>
      <c r="F9" t="s">
        <v>96</v>
      </c>
      <c r="G9" t="s">
        <v>100</v>
      </c>
      <c r="H9" t="s">
        <v>70</v>
      </c>
      <c r="I9" t="s">
        <v>100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94</v>
      </c>
      <c r="S9" t="s">
        <v>89</v>
      </c>
      <c r="T9" t="s">
        <v>66</v>
      </c>
      <c r="U9" t="s">
        <v>94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101</v>
      </c>
      <c r="AB9" t="s">
        <v>75</v>
      </c>
      <c r="AC9" t="s">
        <v>108</v>
      </c>
      <c r="AD9" t="s">
        <v>72</v>
      </c>
      <c r="AG9" t="s">
        <v>89</v>
      </c>
      <c r="AH9" t="s">
        <v>96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93</v>
      </c>
      <c r="AS9" t="s">
        <v>105</v>
      </c>
      <c r="AT9" t="s">
        <v>89</v>
      </c>
      <c r="AU9" t="s">
        <v>80</v>
      </c>
      <c r="AV9" t="s">
        <v>96</v>
      </c>
      <c r="AW9" t="s">
        <v>87</v>
      </c>
      <c r="AX9" t="s">
        <v>87</v>
      </c>
      <c r="AY9" t="s">
        <v>109</v>
      </c>
      <c r="AZ9" t="s">
        <v>110</v>
      </c>
      <c r="BA9" t="s">
        <v>116</v>
      </c>
      <c r="BB9" t="s">
        <v>99</v>
      </c>
    </row>
    <row r="10" spans="1:60" ht="15" customHeight="1" x14ac:dyDescent="0.25">
      <c r="A10" t="s">
        <v>76</v>
      </c>
      <c r="B10" t="s">
        <v>67</v>
      </c>
      <c r="C10" t="s">
        <v>67</v>
      </c>
      <c r="D10" t="s">
        <v>67</v>
      </c>
      <c r="E10" t="s">
        <v>94</v>
      </c>
      <c r="F10" t="s">
        <v>102</v>
      </c>
      <c r="G10" t="s">
        <v>79</v>
      </c>
      <c r="H10" t="s">
        <v>111</v>
      </c>
      <c r="I10" t="s">
        <v>79</v>
      </c>
      <c r="J10" t="s">
        <v>111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101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101</v>
      </c>
      <c r="AD10" t="s">
        <v>112</v>
      </c>
      <c r="AG10" t="s">
        <v>76</v>
      </c>
      <c r="AH10" t="s">
        <v>95</v>
      </c>
      <c r="AI10" t="s">
        <v>93</v>
      </c>
      <c r="AJ10" t="s">
        <v>89</v>
      </c>
      <c r="AK10" t="s">
        <v>109</v>
      </c>
      <c r="AL10" t="s">
        <v>76</v>
      </c>
      <c r="AM10" t="s">
        <v>77</v>
      </c>
      <c r="AN10" t="s">
        <v>105</v>
      </c>
      <c r="AO10" t="s">
        <v>74</v>
      </c>
      <c r="AP10" t="s">
        <v>89</v>
      </c>
      <c r="AQ10" t="s">
        <v>89</v>
      </c>
      <c r="AR10" t="s">
        <v>75</v>
      </c>
      <c r="AS10" t="s">
        <v>113</v>
      </c>
      <c r="AT10" t="s">
        <v>76</v>
      </c>
      <c r="AU10" t="s">
        <v>114</v>
      </c>
      <c r="AV10" t="s">
        <v>115</v>
      </c>
      <c r="AW10" t="s">
        <v>96</v>
      </c>
      <c r="AX10" t="s">
        <v>96</v>
      </c>
      <c r="AY10" t="s">
        <v>95</v>
      </c>
      <c r="AZ10" t="s">
        <v>79</v>
      </c>
      <c r="BA10" t="s">
        <v>104</v>
      </c>
      <c r="BB10" t="s">
        <v>98</v>
      </c>
    </row>
    <row r="11" spans="1:60" ht="15" customHeight="1" x14ac:dyDescent="0.25">
      <c r="A11" t="s">
        <v>94</v>
      </c>
      <c r="B11" t="s">
        <v>100</v>
      </c>
      <c r="C11" t="s">
        <v>111</v>
      </c>
      <c r="D11" t="s">
        <v>86</v>
      </c>
      <c r="E11" t="s">
        <v>100</v>
      </c>
      <c r="F11" t="s">
        <v>78</v>
      </c>
      <c r="G11" t="s">
        <v>86</v>
      </c>
      <c r="H11" t="s">
        <v>108</v>
      </c>
      <c r="I11" t="s">
        <v>95</v>
      </c>
      <c r="J11" t="s">
        <v>108</v>
      </c>
      <c r="M11" t="s">
        <v>114</v>
      </c>
      <c r="N11" t="s">
        <v>101</v>
      </c>
      <c r="O11" t="s">
        <v>83</v>
      </c>
      <c r="P11" t="s">
        <v>80</v>
      </c>
      <c r="Q11" t="s">
        <v>101</v>
      </c>
      <c r="R11" t="s">
        <v>110</v>
      </c>
      <c r="S11" t="s">
        <v>87</v>
      </c>
      <c r="T11" t="s">
        <v>94</v>
      </c>
      <c r="U11" t="s">
        <v>108</v>
      </c>
      <c r="V11" t="s">
        <v>76</v>
      </c>
      <c r="W11" t="s">
        <v>94</v>
      </c>
      <c r="X11" t="s">
        <v>94</v>
      </c>
      <c r="Y11" t="s">
        <v>76</v>
      </c>
      <c r="Z11" t="s">
        <v>89</v>
      </c>
      <c r="AA11" t="s">
        <v>86</v>
      </c>
      <c r="AB11" t="s">
        <v>94</v>
      </c>
      <c r="AC11" t="s">
        <v>87</v>
      </c>
      <c r="AD11" t="s">
        <v>102</v>
      </c>
      <c r="AG11" t="s">
        <v>100</v>
      </c>
      <c r="AH11" t="s">
        <v>102</v>
      </c>
      <c r="AI11" t="s">
        <v>75</v>
      </c>
      <c r="AJ11" t="s">
        <v>70</v>
      </c>
      <c r="AK11" t="s">
        <v>96</v>
      </c>
      <c r="AL11" t="s">
        <v>77</v>
      </c>
      <c r="AM11" t="s">
        <v>67</v>
      </c>
      <c r="AN11" t="s">
        <v>89</v>
      </c>
      <c r="AO11" t="s">
        <v>101</v>
      </c>
      <c r="AP11" t="s">
        <v>94</v>
      </c>
      <c r="AQ11" t="s">
        <v>114</v>
      </c>
      <c r="AR11" t="s">
        <v>89</v>
      </c>
      <c r="AS11" t="s">
        <v>106</v>
      </c>
      <c r="AT11" t="s">
        <v>77</v>
      </c>
      <c r="AU11" t="s">
        <v>66</v>
      </c>
      <c r="AV11" t="s">
        <v>102</v>
      </c>
      <c r="AW11" t="s">
        <v>115</v>
      </c>
      <c r="AX11" t="s">
        <v>102</v>
      </c>
      <c r="AY11" t="s">
        <v>117</v>
      </c>
      <c r="AZ11" t="s">
        <v>100</v>
      </c>
      <c r="BB11" t="s">
        <v>116</v>
      </c>
    </row>
    <row r="12" spans="1:60" ht="15" customHeight="1" x14ac:dyDescent="0.25">
      <c r="A12" t="s">
        <v>111</v>
      </c>
      <c r="B12" t="s">
        <v>86</v>
      </c>
      <c r="C12" t="s">
        <v>108</v>
      </c>
      <c r="D12" t="s">
        <v>79</v>
      </c>
      <c r="E12" t="s">
        <v>87</v>
      </c>
      <c r="F12" t="s">
        <v>118</v>
      </c>
      <c r="G12" t="s">
        <v>95</v>
      </c>
      <c r="H12" t="s">
        <v>79</v>
      </c>
      <c r="I12" t="s">
        <v>88</v>
      </c>
      <c r="J12" t="s">
        <v>79</v>
      </c>
      <c r="M12" t="s">
        <v>119</v>
      </c>
      <c r="N12" t="s">
        <v>110</v>
      </c>
      <c r="O12" t="s">
        <v>119</v>
      </c>
      <c r="P12" t="s">
        <v>114</v>
      </c>
      <c r="Q12" t="s">
        <v>87</v>
      </c>
      <c r="R12" t="s">
        <v>101</v>
      </c>
      <c r="S12" t="s">
        <v>96</v>
      </c>
      <c r="T12" t="s">
        <v>108</v>
      </c>
      <c r="U12" t="s">
        <v>101</v>
      </c>
      <c r="V12" t="s">
        <v>87</v>
      </c>
      <c r="W12" t="s">
        <v>119</v>
      </c>
      <c r="X12" t="s">
        <v>100</v>
      </c>
      <c r="Y12" t="s">
        <v>94</v>
      </c>
      <c r="Z12" t="s">
        <v>66</v>
      </c>
      <c r="AA12" t="s">
        <v>120</v>
      </c>
      <c r="AB12" t="s">
        <v>67</v>
      </c>
      <c r="AC12" t="s">
        <v>95</v>
      </c>
      <c r="AD12" t="s">
        <v>121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113</v>
      </c>
      <c r="AO12" t="s">
        <v>87</v>
      </c>
      <c r="AP12" t="s">
        <v>84</v>
      </c>
      <c r="AQ12" t="s">
        <v>67</v>
      </c>
      <c r="AR12" t="s">
        <v>101</v>
      </c>
      <c r="AS12" t="s">
        <v>87</v>
      </c>
      <c r="AT12" t="s">
        <v>87</v>
      </c>
      <c r="AU12" t="s">
        <v>110</v>
      </c>
      <c r="AV12" t="s">
        <v>121</v>
      </c>
      <c r="AW12" t="s">
        <v>121</v>
      </c>
      <c r="AX12" t="s">
        <v>121</v>
      </c>
      <c r="AY12" t="s">
        <v>99</v>
      </c>
      <c r="AZ12" t="s">
        <v>96</v>
      </c>
    </row>
    <row r="13" spans="1:60" ht="15" customHeight="1" x14ac:dyDescent="0.25">
      <c r="A13" t="s">
        <v>108</v>
      </c>
      <c r="B13" t="s">
        <v>101</v>
      </c>
      <c r="C13" t="s">
        <v>79</v>
      </c>
      <c r="D13" t="s">
        <v>102</v>
      </c>
      <c r="E13" t="s">
        <v>86</v>
      </c>
      <c r="F13" t="s">
        <v>104</v>
      </c>
      <c r="G13" t="s">
        <v>121</v>
      </c>
      <c r="H13" t="s">
        <v>86</v>
      </c>
      <c r="I13" t="s">
        <v>121</v>
      </c>
      <c r="J13" t="s">
        <v>96</v>
      </c>
      <c r="M13" t="s">
        <v>101</v>
      </c>
      <c r="N13" t="s">
        <v>122</v>
      </c>
      <c r="O13" t="s">
        <v>79</v>
      </c>
      <c r="P13" t="s">
        <v>76</v>
      </c>
      <c r="Q13" t="s">
        <v>123</v>
      </c>
      <c r="R13" t="s">
        <v>79</v>
      </c>
      <c r="S13" t="s">
        <v>122</v>
      </c>
      <c r="T13" t="s">
        <v>101</v>
      </c>
      <c r="U13" t="s">
        <v>87</v>
      </c>
      <c r="V13" t="s">
        <v>96</v>
      </c>
      <c r="W13" t="s">
        <v>101</v>
      </c>
      <c r="X13" t="s">
        <v>86</v>
      </c>
      <c r="Y13" t="s">
        <v>108</v>
      </c>
      <c r="Z13" t="s">
        <v>119</v>
      </c>
      <c r="AA13" t="s">
        <v>95</v>
      </c>
      <c r="AB13" t="s">
        <v>101</v>
      </c>
      <c r="AC13" t="s">
        <v>88</v>
      </c>
      <c r="AD13" t="s">
        <v>99</v>
      </c>
      <c r="AG13" t="s">
        <v>86</v>
      </c>
      <c r="AH13" t="s">
        <v>99</v>
      </c>
      <c r="AI13" t="s">
        <v>76</v>
      </c>
      <c r="AJ13" t="s">
        <v>124</v>
      </c>
      <c r="AK13" t="s">
        <v>88</v>
      </c>
      <c r="AL13" t="s">
        <v>106</v>
      </c>
      <c r="AM13" t="s">
        <v>101</v>
      </c>
      <c r="AN13" t="s">
        <v>87</v>
      </c>
      <c r="AO13" t="s">
        <v>96</v>
      </c>
      <c r="AP13" t="s">
        <v>87</v>
      </c>
      <c r="AQ13" t="s">
        <v>110</v>
      </c>
      <c r="AR13" t="s">
        <v>79</v>
      </c>
      <c r="AS13" t="s">
        <v>101</v>
      </c>
      <c r="AT13" t="s">
        <v>101</v>
      </c>
      <c r="AU13" t="s">
        <v>84</v>
      </c>
      <c r="AV13" t="s">
        <v>107</v>
      </c>
      <c r="AW13" t="s">
        <v>107</v>
      </c>
      <c r="AX13" t="s">
        <v>97</v>
      </c>
      <c r="AY13" t="s">
        <v>118</v>
      </c>
      <c r="AZ13" t="s">
        <v>117</v>
      </c>
    </row>
    <row r="14" spans="1:60" ht="15" customHeight="1" x14ac:dyDescent="0.25">
      <c r="A14" t="s">
        <v>87</v>
      </c>
      <c r="B14" t="s">
        <v>88</v>
      </c>
      <c r="C14" t="s">
        <v>96</v>
      </c>
      <c r="D14" t="s">
        <v>98</v>
      </c>
      <c r="E14" t="s">
        <v>102</v>
      </c>
      <c r="G14" t="s">
        <v>118</v>
      </c>
      <c r="H14" t="s">
        <v>88</v>
      </c>
      <c r="I14" t="s">
        <v>118</v>
      </c>
      <c r="J14" t="s">
        <v>88</v>
      </c>
      <c r="M14" t="s">
        <v>86</v>
      </c>
      <c r="N14" t="s">
        <v>102</v>
      </c>
      <c r="O14" t="s">
        <v>86</v>
      </c>
      <c r="P14" t="s">
        <v>101</v>
      </c>
      <c r="Q14" t="s">
        <v>95</v>
      </c>
      <c r="R14" t="s">
        <v>86</v>
      </c>
      <c r="S14" t="s">
        <v>102</v>
      </c>
      <c r="T14" t="s">
        <v>86</v>
      </c>
      <c r="U14" t="s">
        <v>88</v>
      </c>
      <c r="V14" t="s">
        <v>95</v>
      </c>
      <c r="W14" t="s">
        <v>86</v>
      </c>
      <c r="X14" t="s">
        <v>113</v>
      </c>
      <c r="Y14" t="s">
        <v>100</v>
      </c>
      <c r="Z14" t="s">
        <v>87</v>
      </c>
      <c r="AA14" t="s">
        <v>110</v>
      </c>
      <c r="AB14" t="s">
        <v>87</v>
      </c>
      <c r="AC14" t="s">
        <v>81</v>
      </c>
      <c r="AD14" t="s">
        <v>103</v>
      </c>
      <c r="AG14" t="s">
        <v>72</v>
      </c>
      <c r="AH14" t="s">
        <v>104</v>
      </c>
      <c r="AI14" t="s">
        <v>113</v>
      </c>
      <c r="AJ14" t="s">
        <v>101</v>
      </c>
      <c r="AK14" t="s">
        <v>81</v>
      </c>
      <c r="AL14" t="s">
        <v>101</v>
      </c>
      <c r="AM14" t="s">
        <v>87</v>
      </c>
      <c r="AN14" t="s">
        <v>96</v>
      </c>
      <c r="AO14" t="s">
        <v>95</v>
      </c>
      <c r="AP14" t="s">
        <v>112</v>
      </c>
      <c r="AQ14" t="s">
        <v>85</v>
      </c>
      <c r="AR14" t="s">
        <v>124</v>
      </c>
      <c r="AS14" t="s">
        <v>96</v>
      </c>
      <c r="AT14" t="s">
        <v>125</v>
      </c>
      <c r="AU14" t="s">
        <v>87</v>
      </c>
      <c r="AV14" t="s">
        <v>126</v>
      </c>
      <c r="AW14" t="s">
        <v>127</v>
      </c>
      <c r="AX14" t="s">
        <v>99</v>
      </c>
      <c r="AY14" t="s">
        <v>102</v>
      </c>
      <c r="AZ14" t="s">
        <v>81</v>
      </c>
    </row>
    <row r="15" spans="1:60" ht="15" customHeight="1" x14ac:dyDescent="0.25">
      <c r="A15" t="s">
        <v>96</v>
      </c>
      <c r="B15" t="s">
        <v>81</v>
      </c>
      <c r="C15" t="s">
        <v>89</v>
      </c>
      <c r="D15" t="s">
        <v>78</v>
      </c>
      <c r="E15" t="s">
        <v>115</v>
      </c>
      <c r="G15" t="s">
        <v>98</v>
      </c>
      <c r="H15" t="s">
        <v>128</v>
      </c>
      <c r="I15" t="s">
        <v>116</v>
      </c>
      <c r="J15" t="s">
        <v>81</v>
      </c>
      <c r="M15" t="s">
        <v>72</v>
      </c>
      <c r="N15" t="s">
        <v>87</v>
      </c>
      <c r="O15" t="s">
        <v>95</v>
      </c>
      <c r="P15" t="s">
        <v>79</v>
      </c>
      <c r="Q15" t="s">
        <v>121</v>
      </c>
      <c r="R15" t="s">
        <v>72</v>
      </c>
      <c r="S15" t="s">
        <v>115</v>
      </c>
      <c r="T15" t="s">
        <v>95</v>
      </c>
      <c r="U15" t="s">
        <v>78</v>
      </c>
      <c r="V15" t="s">
        <v>110</v>
      </c>
      <c r="W15" t="s">
        <v>95</v>
      </c>
      <c r="X15" t="s">
        <v>110</v>
      </c>
      <c r="Y15" t="s">
        <v>79</v>
      </c>
      <c r="Z15" t="s">
        <v>101</v>
      </c>
      <c r="AA15" t="s">
        <v>123</v>
      </c>
      <c r="AB15" t="s">
        <v>95</v>
      </c>
      <c r="AC15" t="s">
        <v>121</v>
      </c>
      <c r="AD15" t="s">
        <v>107</v>
      </c>
      <c r="AG15" t="s">
        <v>102</v>
      </c>
      <c r="AI15" t="s">
        <v>124</v>
      </c>
      <c r="AJ15" t="s">
        <v>86</v>
      </c>
      <c r="AK15" t="s">
        <v>78</v>
      </c>
      <c r="AL15" t="s">
        <v>79</v>
      </c>
      <c r="AM15" t="s">
        <v>112</v>
      </c>
      <c r="AN15" t="s">
        <v>95</v>
      </c>
      <c r="AO15" t="s">
        <v>115</v>
      </c>
      <c r="AP15" t="s">
        <v>101</v>
      </c>
      <c r="AQ15" t="s">
        <v>87</v>
      </c>
      <c r="AR15" t="s">
        <v>125</v>
      </c>
      <c r="AS15" t="s">
        <v>115</v>
      </c>
      <c r="AT15" t="s">
        <v>112</v>
      </c>
      <c r="AU15" t="s">
        <v>112</v>
      </c>
      <c r="AV15" t="s">
        <v>116</v>
      </c>
      <c r="AW15" t="s">
        <v>116</v>
      </c>
      <c r="AX15" t="s">
        <v>103</v>
      </c>
      <c r="AY15" t="s">
        <v>116</v>
      </c>
      <c r="AZ15" t="s">
        <v>128</v>
      </c>
    </row>
    <row r="16" spans="1:60" ht="15" customHeight="1" x14ac:dyDescent="0.25">
      <c r="A16" t="s">
        <v>85</v>
      </c>
      <c r="B16" t="s">
        <v>102</v>
      </c>
      <c r="C16" t="s">
        <v>88</v>
      </c>
      <c r="D16" t="s">
        <v>99</v>
      </c>
      <c r="E16" t="s">
        <v>107</v>
      </c>
      <c r="G16" t="s">
        <v>107</v>
      </c>
      <c r="H16" t="s">
        <v>102</v>
      </c>
      <c r="I16" t="s">
        <v>104</v>
      </c>
      <c r="J16" t="s">
        <v>97</v>
      </c>
      <c r="M16" t="s">
        <v>115</v>
      </c>
      <c r="N16" t="s">
        <v>121</v>
      </c>
      <c r="O16" t="s">
        <v>88</v>
      </c>
      <c r="P16" t="s">
        <v>86</v>
      </c>
      <c r="Q16" t="s">
        <v>97</v>
      </c>
      <c r="R16" t="s">
        <v>102</v>
      </c>
      <c r="S16" t="s">
        <v>103</v>
      </c>
      <c r="T16" t="s">
        <v>88</v>
      </c>
      <c r="U16" t="s">
        <v>97</v>
      </c>
      <c r="V16" t="s">
        <v>88</v>
      </c>
      <c r="W16" t="s">
        <v>88</v>
      </c>
      <c r="X16" t="s">
        <v>102</v>
      </c>
      <c r="Y16" t="s">
        <v>86</v>
      </c>
      <c r="Z16" t="s">
        <v>123</v>
      </c>
      <c r="AA16" t="s">
        <v>102</v>
      </c>
      <c r="AB16" t="s">
        <v>115</v>
      </c>
      <c r="AC16" t="s">
        <v>97</v>
      </c>
      <c r="AG16" t="s">
        <v>121</v>
      </c>
      <c r="AI16" t="s">
        <v>100</v>
      </c>
      <c r="AJ16" t="s">
        <v>125</v>
      </c>
      <c r="AK16" t="s">
        <v>107</v>
      </c>
      <c r="AL16" t="s">
        <v>124</v>
      </c>
      <c r="AM16" t="s">
        <v>96</v>
      </c>
      <c r="AN16" t="s">
        <v>109</v>
      </c>
      <c r="AO16" t="s">
        <v>102</v>
      </c>
      <c r="AP16" t="s">
        <v>120</v>
      </c>
      <c r="AQ16" t="s">
        <v>112</v>
      </c>
      <c r="AR16" t="s">
        <v>95</v>
      </c>
      <c r="AS16" t="s">
        <v>102</v>
      </c>
      <c r="AT16" t="s">
        <v>115</v>
      </c>
      <c r="AU16" t="s">
        <v>100</v>
      </c>
      <c r="AW16" t="s">
        <v>104</v>
      </c>
      <c r="AY16" t="s">
        <v>104</v>
      </c>
      <c r="AZ16" t="s">
        <v>107</v>
      </c>
    </row>
    <row r="17" spans="1:52" ht="15" customHeight="1" x14ac:dyDescent="0.25">
      <c r="A17" t="s">
        <v>88</v>
      </c>
      <c r="B17" t="s">
        <v>121</v>
      </c>
      <c r="C17" t="s">
        <v>81</v>
      </c>
      <c r="D17" t="s">
        <v>115</v>
      </c>
      <c r="E17" t="s">
        <v>126</v>
      </c>
      <c r="G17" t="s">
        <v>91</v>
      </c>
      <c r="H17" t="s">
        <v>98</v>
      </c>
      <c r="J17" t="s">
        <v>103</v>
      </c>
      <c r="M17" t="s">
        <v>102</v>
      </c>
      <c r="N17" t="s">
        <v>78</v>
      </c>
      <c r="O17" t="s">
        <v>81</v>
      </c>
      <c r="P17" t="s">
        <v>88</v>
      </c>
      <c r="Q17" t="s">
        <v>107</v>
      </c>
      <c r="R17" t="s">
        <v>121</v>
      </c>
      <c r="S17" t="s">
        <v>116</v>
      </c>
      <c r="T17" t="s">
        <v>81</v>
      </c>
      <c r="U17" t="s">
        <v>99</v>
      </c>
      <c r="V17" t="s">
        <v>81</v>
      </c>
      <c r="W17" t="s">
        <v>81</v>
      </c>
      <c r="X17" t="s">
        <v>98</v>
      </c>
      <c r="Y17" t="s">
        <v>95</v>
      </c>
      <c r="Z17" t="s">
        <v>122</v>
      </c>
      <c r="AA17" t="s">
        <v>121</v>
      </c>
      <c r="AB17" t="s">
        <v>102</v>
      </c>
      <c r="AC17" t="s">
        <v>107</v>
      </c>
      <c r="AG17" t="s">
        <v>107</v>
      </c>
      <c r="AI17" t="s">
        <v>96</v>
      </c>
      <c r="AJ17" t="s">
        <v>112</v>
      </c>
      <c r="AK17" t="s">
        <v>127</v>
      </c>
      <c r="AL17" t="s">
        <v>96</v>
      </c>
      <c r="AM17" t="s">
        <v>95</v>
      </c>
      <c r="AN17" t="s">
        <v>115</v>
      </c>
      <c r="AO17" t="s">
        <v>98</v>
      </c>
      <c r="AP17" t="s">
        <v>72</v>
      </c>
      <c r="AQ17" t="s">
        <v>100</v>
      </c>
      <c r="AR17" t="s">
        <v>88</v>
      </c>
      <c r="AS17" t="s">
        <v>109</v>
      </c>
      <c r="AT17" t="s">
        <v>129</v>
      </c>
      <c r="AU17" t="s">
        <v>120</v>
      </c>
      <c r="AZ17" t="s">
        <v>127</v>
      </c>
    </row>
    <row r="18" spans="1:52" ht="15" customHeight="1" x14ac:dyDescent="0.25">
      <c r="A18" t="s">
        <v>81</v>
      </c>
      <c r="B18" t="s">
        <v>107</v>
      </c>
      <c r="C18" t="s">
        <v>78</v>
      </c>
      <c r="D18" t="s">
        <v>91</v>
      </c>
      <c r="E18" t="s">
        <v>104</v>
      </c>
      <c r="G18" t="s">
        <v>103</v>
      </c>
      <c r="H18" t="s">
        <v>97</v>
      </c>
      <c r="J18" t="s">
        <v>126</v>
      </c>
      <c r="M18" t="s">
        <v>96</v>
      </c>
      <c r="N18" t="s">
        <v>107</v>
      </c>
      <c r="O18" t="s">
        <v>121</v>
      </c>
      <c r="P18" t="s">
        <v>121</v>
      </c>
      <c r="Q18" t="s">
        <v>118</v>
      </c>
      <c r="R18" t="s">
        <v>97</v>
      </c>
      <c r="T18" t="s">
        <v>98</v>
      </c>
      <c r="U18" t="s">
        <v>115</v>
      </c>
      <c r="V18" t="s">
        <v>97</v>
      </c>
      <c r="W18" t="s">
        <v>121</v>
      </c>
      <c r="X18" t="s">
        <v>78</v>
      </c>
      <c r="Y18" t="s">
        <v>115</v>
      </c>
      <c r="Z18" t="s">
        <v>88</v>
      </c>
      <c r="AA18" t="s">
        <v>107</v>
      </c>
      <c r="AB18" t="s">
        <v>81</v>
      </c>
      <c r="AC18" t="s">
        <v>118</v>
      </c>
      <c r="AG18" t="s">
        <v>130</v>
      </c>
      <c r="AI18" t="s">
        <v>101</v>
      </c>
      <c r="AJ18" t="s">
        <v>115</v>
      </c>
      <c r="AK18" t="s">
        <v>91</v>
      </c>
      <c r="AL18" t="s">
        <v>95</v>
      </c>
      <c r="AM18" t="s">
        <v>72</v>
      </c>
      <c r="AN18" t="s">
        <v>102</v>
      </c>
      <c r="AO18" t="s">
        <v>121</v>
      </c>
      <c r="AP18" t="s">
        <v>117</v>
      </c>
      <c r="AQ18" t="s">
        <v>120</v>
      </c>
      <c r="AR18" t="s">
        <v>81</v>
      </c>
      <c r="AS18" t="s">
        <v>95</v>
      </c>
      <c r="AT18" t="s">
        <v>98</v>
      </c>
      <c r="AU18" t="s">
        <v>88</v>
      </c>
      <c r="AZ18" t="s">
        <v>91</v>
      </c>
    </row>
    <row r="19" spans="1:52" ht="15" customHeight="1" x14ac:dyDescent="0.25">
      <c r="A19" t="s">
        <v>121</v>
      </c>
      <c r="B19" t="s">
        <v>118</v>
      </c>
      <c r="C19" t="s">
        <v>107</v>
      </c>
      <c r="D19" t="s">
        <v>104</v>
      </c>
      <c r="H19" t="s">
        <v>107</v>
      </c>
      <c r="J19" t="s">
        <v>99</v>
      </c>
      <c r="M19" t="s">
        <v>98</v>
      </c>
      <c r="N19" t="s">
        <v>126</v>
      </c>
      <c r="O19" t="s">
        <v>97</v>
      </c>
      <c r="P19" t="s">
        <v>97</v>
      </c>
      <c r="Q19" t="s">
        <v>122</v>
      </c>
      <c r="R19" t="s">
        <v>99</v>
      </c>
      <c r="T19" t="s">
        <v>121</v>
      </c>
      <c r="U19" t="s">
        <v>98</v>
      </c>
      <c r="V19" t="s">
        <v>99</v>
      </c>
      <c r="W19" t="s">
        <v>97</v>
      </c>
      <c r="X19" t="s">
        <v>97</v>
      </c>
      <c r="Y19" t="s">
        <v>102</v>
      </c>
      <c r="Z19" t="s">
        <v>81</v>
      </c>
      <c r="AA19" t="s">
        <v>118</v>
      </c>
      <c r="AB19" t="s">
        <v>97</v>
      </c>
      <c r="AC19" t="s">
        <v>91</v>
      </c>
      <c r="AG19" t="s">
        <v>88</v>
      </c>
      <c r="AI19" t="s">
        <v>88</v>
      </c>
      <c r="AJ19" t="s">
        <v>102</v>
      </c>
      <c r="AK19" t="s">
        <v>103</v>
      </c>
      <c r="AL19" t="s">
        <v>87</v>
      </c>
      <c r="AM19" t="s">
        <v>106</v>
      </c>
      <c r="AN19" t="s">
        <v>99</v>
      </c>
      <c r="AO19" t="s">
        <v>99</v>
      </c>
      <c r="AP19" t="s">
        <v>81</v>
      </c>
      <c r="AQ19" t="s">
        <v>84</v>
      </c>
      <c r="AR19" t="s">
        <v>129</v>
      </c>
      <c r="AS19" t="s">
        <v>121</v>
      </c>
      <c r="AT19" t="s">
        <v>97</v>
      </c>
      <c r="AU19" t="s">
        <v>81</v>
      </c>
      <c r="AZ19" t="s">
        <v>131</v>
      </c>
    </row>
    <row r="20" spans="1:52" ht="15" customHeight="1" x14ac:dyDescent="0.25">
      <c r="A20" t="s">
        <v>107</v>
      </c>
      <c r="B20" t="s">
        <v>126</v>
      </c>
      <c r="C20" t="s">
        <v>132</v>
      </c>
      <c r="H20" t="s">
        <v>132</v>
      </c>
      <c r="M20" t="s">
        <v>78</v>
      </c>
      <c r="N20" t="s">
        <v>128</v>
      </c>
      <c r="O20" t="s">
        <v>107</v>
      </c>
      <c r="P20" t="s">
        <v>107</v>
      </c>
      <c r="Q20" t="s">
        <v>81</v>
      </c>
      <c r="R20" t="s">
        <v>115</v>
      </c>
      <c r="T20" t="s">
        <v>78</v>
      </c>
      <c r="U20" t="s">
        <v>126</v>
      </c>
      <c r="V20" t="s">
        <v>127</v>
      </c>
      <c r="W20" t="s">
        <v>99</v>
      </c>
      <c r="X20" t="s">
        <v>99</v>
      </c>
      <c r="Y20" t="s">
        <v>78</v>
      </c>
      <c r="Z20" t="s">
        <v>121</v>
      </c>
      <c r="AA20" t="s">
        <v>133</v>
      </c>
      <c r="AB20" t="s">
        <v>130</v>
      </c>
      <c r="AC20" t="s">
        <v>103</v>
      </c>
      <c r="AG20" t="s">
        <v>116</v>
      </c>
      <c r="AI20" t="s">
        <v>81</v>
      </c>
      <c r="AJ20" t="s">
        <v>129</v>
      </c>
      <c r="AL20" t="s">
        <v>112</v>
      </c>
      <c r="AM20" t="s">
        <v>88</v>
      </c>
      <c r="AN20" t="s">
        <v>127</v>
      </c>
      <c r="AO20" t="s">
        <v>116</v>
      </c>
      <c r="AP20" t="s">
        <v>115</v>
      </c>
      <c r="AQ20" t="s">
        <v>117</v>
      </c>
      <c r="AR20" t="s">
        <v>121</v>
      </c>
      <c r="AS20" t="s">
        <v>107</v>
      </c>
      <c r="AT20" t="s">
        <v>99</v>
      </c>
      <c r="AU20" t="s">
        <v>128</v>
      </c>
    </row>
    <row r="21" spans="1:52" ht="15" customHeight="1" x14ac:dyDescent="0.25">
      <c r="A21" t="s">
        <v>118</v>
      </c>
      <c r="B21" t="s">
        <v>104</v>
      </c>
      <c r="C21" t="s">
        <v>103</v>
      </c>
      <c r="M21" t="s">
        <v>97</v>
      </c>
      <c r="N21" t="s">
        <v>104</v>
      </c>
      <c r="O21" t="s">
        <v>130</v>
      </c>
      <c r="P21" t="s">
        <v>118</v>
      </c>
      <c r="Q21" t="s">
        <v>91</v>
      </c>
      <c r="R21" t="s">
        <v>98</v>
      </c>
      <c r="T21" t="s">
        <v>97</v>
      </c>
      <c r="U21" t="s">
        <v>128</v>
      </c>
      <c r="V21" t="s">
        <v>91</v>
      </c>
      <c r="W21" t="s">
        <v>103</v>
      </c>
      <c r="X21" t="s">
        <v>91</v>
      </c>
      <c r="Y21" t="s">
        <v>97</v>
      </c>
      <c r="Z21" t="s">
        <v>97</v>
      </c>
      <c r="AA21" t="s">
        <v>81</v>
      </c>
      <c r="AB21" t="s">
        <v>91</v>
      </c>
      <c r="AC21" t="s">
        <v>104</v>
      </c>
      <c r="AG21" t="s">
        <v>104</v>
      </c>
      <c r="AI21" t="s">
        <v>86</v>
      </c>
      <c r="AJ21" t="s">
        <v>121</v>
      </c>
      <c r="AL21" t="s">
        <v>88</v>
      </c>
      <c r="AM21" t="s">
        <v>81</v>
      </c>
      <c r="AN21" t="s">
        <v>116</v>
      </c>
      <c r="AO21" t="s">
        <v>104</v>
      </c>
      <c r="AP21" t="s">
        <v>123</v>
      </c>
      <c r="AQ21" t="s">
        <v>98</v>
      </c>
      <c r="AR21" t="s">
        <v>97</v>
      </c>
      <c r="AS21" t="s">
        <v>118</v>
      </c>
      <c r="AT21" t="s">
        <v>126</v>
      </c>
      <c r="AU21" t="s">
        <v>98</v>
      </c>
    </row>
    <row r="22" spans="1:52" ht="15" customHeight="1" x14ac:dyDescent="0.25">
      <c r="A22" t="s">
        <v>103</v>
      </c>
      <c r="B22" t="s">
        <v>116</v>
      </c>
      <c r="M22" t="s">
        <v>130</v>
      </c>
      <c r="O22" t="s">
        <v>91</v>
      </c>
      <c r="P22" t="s">
        <v>81</v>
      </c>
      <c r="Q22" t="s">
        <v>128</v>
      </c>
      <c r="R22" t="s">
        <v>126</v>
      </c>
      <c r="T22" t="s">
        <v>99</v>
      </c>
      <c r="U22" t="s">
        <v>104</v>
      </c>
      <c r="V22" t="s">
        <v>103</v>
      </c>
      <c r="W22" t="s">
        <v>104</v>
      </c>
      <c r="X22" t="s">
        <v>103</v>
      </c>
      <c r="Y22" t="s">
        <v>99</v>
      </c>
      <c r="Z22" t="s">
        <v>99</v>
      </c>
      <c r="AA22" t="s">
        <v>103</v>
      </c>
      <c r="AB22" t="s">
        <v>103</v>
      </c>
      <c r="AI22" t="s">
        <v>125</v>
      </c>
      <c r="AJ22" t="s">
        <v>78</v>
      </c>
      <c r="AL22" t="s">
        <v>81</v>
      </c>
      <c r="AM22" t="s">
        <v>98</v>
      </c>
      <c r="AN22" t="s">
        <v>104</v>
      </c>
      <c r="AP22" t="s">
        <v>98</v>
      </c>
      <c r="AQ22" t="s">
        <v>78</v>
      </c>
      <c r="AR22" t="s">
        <v>99</v>
      </c>
      <c r="AS22" t="s">
        <v>88</v>
      </c>
      <c r="AT22" t="s">
        <v>116</v>
      </c>
      <c r="AU22" t="s">
        <v>78</v>
      </c>
    </row>
    <row r="23" spans="1:52" ht="15" customHeight="1" x14ac:dyDescent="0.25">
      <c r="A23" t="s">
        <v>128</v>
      </c>
      <c r="M23" t="s">
        <v>133</v>
      </c>
      <c r="O23" t="s">
        <v>103</v>
      </c>
      <c r="P23" t="s">
        <v>116</v>
      </c>
      <c r="Q23" t="s">
        <v>104</v>
      </c>
      <c r="R23" t="s">
        <v>116</v>
      </c>
      <c r="T23" t="s">
        <v>126</v>
      </c>
      <c r="Y23" t="s">
        <v>127</v>
      </c>
      <c r="Z23" t="s">
        <v>91</v>
      </c>
      <c r="AA23" t="s">
        <v>98</v>
      </c>
      <c r="AB23" t="s">
        <v>126</v>
      </c>
      <c r="AI23" t="s">
        <v>98</v>
      </c>
      <c r="AJ23" t="s">
        <v>97</v>
      </c>
      <c r="AL23" t="s">
        <v>129</v>
      </c>
      <c r="AM23" t="s">
        <v>78</v>
      </c>
      <c r="AP23" t="s">
        <v>78</v>
      </c>
      <c r="AQ23" t="s">
        <v>126</v>
      </c>
      <c r="AR23" t="s">
        <v>133</v>
      </c>
      <c r="AS23" t="s">
        <v>116</v>
      </c>
      <c r="AU23" t="s">
        <v>107</v>
      </c>
    </row>
    <row r="24" spans="1:52" ht="15" customHeight="1" x14ac:dyDescent="0.25">
      <c r="M24" t="s">
        <v>103</v>
      </c>
      <c r="P24" t="s">
        <v>103</v>
      </c>
      <c r="T24" t="s">
        <v>116</v>
      </c>
      <c r="Y24" t="s">
        <v>98</v>
      </c>
      <c r="Z24" t="s">
        <v>104</v>
      </c>
      <c r="AI24" t="s">
        <v>78</v>
      </c>
      <c r="AJ24" t="s">
        <v>99</v>
      </c>
      <c r="AL24" t="s">
        <v>98</v>
      </c>
      <c r="AM24" t="s">
        <v>107</v>
      </c>
      <c r="AP24" t="s">
        <v>107</v>
      </c>
      <c r="AQ24" t="s">
        <v>91</v>
      </c>
      <c r="AR24" t="s">
        <v>132</v>
      </c>
      <c r="AS24" t="s">
        <v>104</v>
      </c>
      <c r="AU24" t="s">
        <v>99</v>
      </c>
    </row>
    <row r="25" spans="1:52" ht="15" customHeight="1" x14ac:dyDescent="0.25">
      <c r="M25" t="s">
        <v>104</v>
      </c>
      <c r="P25" t="s">
        <v>78</v>
      </c>
      <c r="T25" t="s">
        <v>128</v>
      </c>
      <c r="Y25" t="s">
        <v>81</v>
      </c>
      <c r="AI25" t="s">
        <v>97</v>
      </c>
      <c r="AJ25" t="s">
        <v>126</v>
      </c>
      <c r="AL25" t="s">
        <v>121</v>
      </c>
      <c r="AM25" t="s">
        <v>127</v>
      </c>
      <c r="AP25" t="s">
        <v>126</v>
      </c>
      <c r="AQ25" t="s">
        <v>103</v>
      </c>
      <c r="AR25" t="s">
        <v>103</v>
      </c>
      <c r="AU25" t="s">
        <v>91</v>
      </c>
    </row>
    <row r="26" spans="1:52" ht="15.75" customHeight="1" x14ac:dyDescent="0.25">
      <c r="Y26" t="s">
        <v>126</v>
      </c>
      <c r="AI26" t="s">
        <v>99</v>
      </c>
      <c r="AJ26" t="s">
        <v>104</v>
      </c>
      <c r="AL26" t="s">
        <v>78</v>
      </c>
      <c r="AM26" t="s">
        <v>126</v>
      </c>
      <c r="AP26" t="s">
        <v>91</v>
      </c>
      <c r="AQ26" t="s">
        <v>131</v>
      </c>
      <c r="AU26" t="s">
        <v>131</v>
      </c>
    </row>
    <row r="27" spans="1:52" ht="15" customHeight="1" x14ac:dyDescent="0.25">
      <c r="Y27" t="s">
        <v>116</v>
      </c>
      <c r="AI27" t="s">
        <v>126</v>
      </c>
      <c r="AL27" t="s">
        <v>107</v>
      </c>
      <c r="AM27" t="s">
        <v>116</v>
      </c>
      <c r="AP27" t="s">
        <v>103</v>
      </c>
      <c r="AQ27" t="s">
        <v>118</v>
      </c>
    </row>
    <row r="28" spans="1:52" ht="15" customHeight="1" x14ac:dyDescent="0.25">
      <c r="Y28" t="s">
        <v>103</v>
      </c>
      <c r="AI28" t="s">
        <v>133</v>
      </c>
      <c r="AL28" t="s">
        <v>127</v>
      </c>
      <c r="AM28" t="s">
        <v>104</v>
      </c>
      <c r="AP28" t="s">
        <v>131</v>
      </c>
    </row>
    <row r="29" spans="1:52" ht="15" customHeight="1" x14ac:dyDescent="0.25">
      <c r="AI29" t="s">
        <v>116</v>
      </c>
      <c r="AL29" t="s">
        <v>132</v>
      </c>
      <c r="AP29" t="s">
        <v>97</v>
      </c>
    </row>
    <row r="30" spans="1:52" ht="15" customHeight="1" x14ac:dyDescent="0.25">
      <c r="AI30" t="s">
        <v>104</v>
      </c>
      <c r="AL30" t="s">
        <v>116</v>
      </c>
    </row>
    <row r="31" spans="1:52" ht="15" customHeight="1" x14ac:dyDescent="0.25">
      <c r="AL31" t="s">
        <v>103</v>
      </c>
    </row>
    <row r="32" spans="1:5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C5:BD16 BE5:XFD17 BB6:BB16 A7:AZ7 AA7:AA16 A8:Z8 AE8:AX8 AY8:AZ11 AB8:AC12 H9:Z11 AE9:AU11 A9:G12 AV9:AV14 AX9:AX15 AW9:AW17 Q11:Q14 O11:O16 AH12:AU12 H12:M13 R12:Z13 N12:N15 AG12:AG15 AT12:AT15 AC12:AC16 AP12:AP16 AZ12:AZ16 P12:P17 AE12:AF17 A13:C13 E13:E14 G13:G14 D13:D16 F13:F16 AB13:AB16 AM13:AN16 AH13:AL17 AO13:AO17 AQ13:AS17 AU13:AU17 R14:W14 B14:B15 S14:S15 X14:X15 H14:H16 M14:M16 A14:A17 C14:C17 I14:L17 Y14:Z17 R15:R16 T15:T17 V15:W17 AD7:AD15 AY12:AY14 BA6:BA10">
    <cfRule type="expression" dxfId="1" priority="1">
      <formula>"&gt;2025-11-05"</formula>
    </cfRule>
  </conditionalFormatting>
  <conditionalFormatting sqref="A4:XFD6 A7:AZ10 BB7:XFD32 AV10:AV31 A11:AU12 AY11:AZ12 AX11:AX31 AW11:AW32 N12:N28 AC12:AC31 A13:M13 O13:AB14 AD13:AS14 G13:G29 D13:D30 AT13:AU31 AZ13:AZ31 B14:B19 U14:U27 E14:E28 H14:H29 C14:C30 M14:M30 F14:F32 V15:AB15 Q15:R16 AH15:AS20 O15:P21 AG15:AG30 T15:T32 Y16:AB16 Y17:Z20 X16:X31 R17:R28 Y20:Y30 AJ21:AS24 AI21:AI30 Z21:Z32 AH21:AH32 P22:P30 B21:B30 O22:O31 AJ25:AO32 AR25:AS32 I14:L16 K17:L32 J17:J31 I17:I32 A14:A31 Q17:Q29 S14:S28 V16:W20 V21:V32 W21:W31 AE15:AF32 AD14:AD31 AP25:AP31 AQ23:AQ29 AY12:AY30 BA7:BA27 AA17:AB17 AB18:AB30 AA18:AA28">
    <cfRule type="expression" dxfId="0" priority="7">
      <formula>A4 &gt; "2025-12-22"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S42"/>
  <sheetViews>
    <sheetView zoomScaleNormal="100" workbookViewId="0">
      <selection activeCell="CN15" sqref="CN15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71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105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114</v>
      </c>
      <c r="Y3" t="s">
        <v>113</v>
      </c>
      <c r="Z3" t="s">
        <v>111</v>
      </c>
      <c r="AA3" t="s">
        <v>108</v>
      </c>
      <c r="AB3" t="s">
        <v>110</v>
      </c>
      <c r="AC3" t="s">
        <v>119</v>
      </c>
      <c r="AD3" t="s">
        <v>106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112</v>
      </c>
      <c r="AL3" t="s">
        <v>109</v>
      </c>
      <c r="AM3" t="s">
        <v>124</v>
      </c>
      <c r="AN3" t="s">
        <v>86</v>
      </c>
      <c r="AO3" t="s">
        <v>123</v>
      </c>
      <c r="AP3" t="s">
        <v>96</v>
      </c>
      <c r="AQ3" t="s">
        <v>120</v>
      </c>
      <c r="AR3" t="s">
        <v>125</v>
      </c>
      <c r="AS3" t="s">
        <v>72</v>
      </c>
      <c r="AT3" t="s">
        <v>95</v>
      </c>
      <c r="AU3" t="s">
        <v>122</v>
      </c>
      <c r="AV3" t="s">
        <v>115</v>
      </c>
      <c r="AW3" t="s">
        <v>117</v>
      </c>
      <c r="AX3" t="s">
        <v>88</v>
      </c>
      <c r="AY3" t="s">
        <v>102</v>
      </c>
      <c r="AZ3" t="s">
        <v>81</v>
      </c>
      <c r="BA3" t="s">
        <v>129</v>
      </c>
      <c r="BB3" t="s">
        <v>128</v>
      </c>
      <c r="BC3" t="s">
        <v>98</v>
      </c>
      <c r="BD3" t="s">
        <v>121</v>
      </c>
      <c r="BE3" t="s">
        <v>78</v>
      </c>
      <c r="BF3" t="s">
        <v>97</v>
      </c>
      <c r="BG3" t="s">
        <v>107</v>
      </c>
      <c r="BH3" t="s">
        <v>99</v>
      </c>
      <c r="BI3" t="s">
        <v>118</v>
      </c>
      <c r="BJ3" t="s">
        <v>127</v>
      </c>
      <c r="BK3" t="s">
        <v>130</v>
      </c>
      <c r="BL3" t="s">
        <v>126</v>
      </c>
      <c r="BM3" t="s">
        <v>133</v>
      </c>
      <c r="BN3" t="s">
        <v>132</v>
      </c>
      <c r="BO3" t="s">
        <v>91</v>
      </c>
      <c r="BP3" t="s">
        <v>116</v>
      </c>
      <c r="BQ3" t="s">
        <v>103</v>
      </c>
      <c r="BR3" t="s">
        <v>104</v>
      </c>
      <c r="BS3" t="s">
        <v>131</v>
      </c>
    </row>
    <row r="4" spans="1:71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6</v>
      </c>
      <c r="BP4" t="s">
        <v>48</v>
      </c>
      <c r="BQ4" t="s">
        <v>52</v>
      </c>
      <c r="BR4" t="s">
        <v>42</v>
      </c>
      <c r="BS4" t="s">
        <v>49</v>
      </c>
    </row>
    <row r="5" spans="1:71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53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57</v>
      </c>
      <c r="BR5" t="s">
        <v>6</v>
      </c>
      <c r="BS5" t="s">
        <v>44</v>
      </c>
    </row>
    <row r="6" spans="1:71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29</v>
      </c>
      <c r="BN6" t="s">
        <v>10</v>
      </c>
      <c r="BO6" t="s">
        <v>54</v>
      </c>
      <c r="BP6" t="s">
        <v>18</v>
      </c>
      <c r="BQ6" t="s">
        <v>59</v>
      </c>
      <c r="BR6" t="s">
        <v>14</v>
      </c>
      <c r="BS6" t="s">
        <v>54</v>
      </c>
    </row>
    <row r="7" spans="1:71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41</v>
      </c>
      <c r="BQ7" t="s">
        <v>45</v>
      </c>
      <c r="BR7" t="s">
        <v>55</v>
      </c>
      <c r="BS7" t="s">
        <v>45</v>
      </c>
    </row>
    <row r="8" spans="1:71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31</v>
      </c>
    </row>
    <row r="9" spans="1:71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</row>
    <row r="10" spans="1:71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23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</row>
    <row r="11" spans="1:71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</row>
    <row r="12" spans="1:71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31</v>
      </c>
      <c r="BL12" t="s">
        <v>4</v>
      </c>
      <c r="BO12" t="s">
        <v>49</v>
      </c>
      <c r="BP12" t="s">
        <v>42</v>
      </c>
      <c r="BQ12" t="s">
        <v>31</v>
      </c>
      <c r="BR12" t="s">
        <v>4</v>
      </c>
    </row>
    <row r="13" spans="1:71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24</v>
      </c>
      <c r="BR13" t="s">
        <v>53</v>
      </c>
    </row>
    <row r="14" spans="1:71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26</v>
      </c>
      <c r="BR14" t="s">
        <v>7</v>
      </c>
    </row>
    <row r="15" spans="1:71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30</v>
      </c>
      <c r="BR15" t="s">
        <v>43</v>
      </c>
    </row>
    <row r="16" spans="1:71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31</v>
      </c>
      <c r="BP16" t="s">
        <v>50</v>
      </c>
      <c r="BQ16" t="s">
        <v>25</v>
      </c>
      <c r="BR16" t="s">
        <v>35</v>
      </c>
    </row>
    <row r="17" spans="1:70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33</v>
      </c>
      <c r="BP17" t="s">
        <v>40</v>
      </c>
      <c r="BQ17" t="s">
        <v>27</v>
      </c>
      <c r="BR17" t="s">
        <v>16</v>
      </c>
    </row>
    <row r="18" spans="1:70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17</v>
      </c>
      <c r="BR18" t="s">
        <v>51</v>
      </c>
    </row>
    <row r="19" spans="1:70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18</v>
      </c>
      <c r="BR19" t="s">
        <v>47</v>
      </c>
    </row>
    <row r="20" spans="1:70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5</v>
      </c>
      <c r="BR20" t="s">
        <v>25</v>
      </c>
    </row>
    <row r="21" spans="1:70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15</v>
      </c>
      <c r="BR21" t="s">
        <v>37</v>
      </c>
    </row>
    <row r="22" spans="1:70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29</v>
      </c>
      <c r="BR22" t="s">
        <v>28</v>
      </c>
    </row>
    <row r="23" spans="1:70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56</v>
      </c>
      <c r="BP23" t="s">
        <v>22</v>
      </c>
      <c r="BQ23" t="s">
        <v>21</v>
      </c>
      <c r="BR23" t="s">
        <v>41</v>
      </c>
    </row>
    <row r="24" spans="1:70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3</v>
      </c>
      <c r="BR24" t="s">
        <v>15</v>
      </c>
    </row>
    <row r="25" spans="1:70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9</v>
      </c>
      <c r="BR25" t="s">
        <v>19</v>
      </c>
    </row>
    <row r="26" spans="1:70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32</v>
      </c>
      <c r="BR26" t="s">
        <v>8</v>
      </c>
    </row>
    <row r="27" spans="1:70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12</v>
      </c>
      <c r="BR27" t="s">
        <v>11</v>
      </c>
    </row>
    <row r="28" spans="1:70" ht="15" customHeight="1" x14ac:dyDescent="0.25"/>
    <row r="29" spans="1:70" ht="15" customHeight="1" x14ac:dyDescent="0.25"/>
    <row r="30" spans="1:70" ht="15" customHeight="1" x14ac:dyDescent="0.25"/>
    <row r="31" spans="1:70" ht="15" customHeight="1" x14ac:dyDescent="0.25"/>
    <row r="32" spans="1:70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S14"/>
  <sheetViews>
    <sheetView topLeftCell="BI1" zoomScale="96" zoomScaleNormal="96" workbookViewId="0">
      <selection activeCell="BL4" sqref="BL4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  <col min="104" max="104" width="57.5703125" customWidth="1"/>
  </cols>
  <sheetData>
    <row r="3" spans="1:71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105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114</v>
      </c>
      <c r="Y3" t="s">
        <v>113</v>
      </c>
      <c r="Z3" t="s">
        <v>111</v>
      </c>
      <c r="AA3" t="s">
        <v>108</v>
      </c>
      <c r="AB3" t="s">
        <v>110</v>
      </c>
      <c r="AC3" t="s">
        <v>119</v>
      </c>
      <c r="AD3" t="s">
        <v>106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112</v>
      </c>
      <c r="AL3" t="s">
        <v>109</v>
      </c>
      <c r="AM3" t="s">
        <v>124</v>
      </c>
      <c r="AN3" t="s">
        <v>86</v>
      </c>
      <c r="AO3" t="s">
        <v>123</v>
      </c>
      <c r="AP3" t="s">
        <v>96</v>
      </c>
      <c r="AQ3" t="s">
        <v>120</v>
      </c>
      <c r="AR3" t="s">
        <v>125</v>
      </c>
      <c r="AS3" t="s">
        <v>72</v>
      </c>
      <c r="AT3" t="s">
        <v>95</v>
      </c>
      <c r="AU3" t="s">
        <v>122</v>
      </c>
      <c r="AV3" t="s">
        <v>115</v>
      </c>
      <c r="AW3" t="s">
        <v>117</v>
      </c>
      <c r="AX3" t="s">
        <v>88</v>
      </c>
      <c r="AY3" t="s">
        <v>102</v>
      </c>
      <c r="AZ3" t="s">
        <v>81</v>
      </c>
      <c r="BA3" t="s">
        <v>129</v>
      </c>
      <c r="BB3" t="s">
        <v>128</v>
      </c>
      <c r="BC3" t="s">
        <v>98</v>
      </c>
      <c r="BD3" t="s">
        <v>121</v>
      </c>
      <c r="BE3" t="s">
        <v>78</v>
      </c>
      <c r="BF3" t="s">
        <v>97</v>
      </c>
      <c r="BG3" t="s">
        <v>107</v>
      </c>
      <c r="BH3" t="s">
        <v>99</v>
      </c>
      <c r="BI3" t="s">
        <v>118</v>
      </c>
      <c r="BJ3" t="s">
        <v>127</v>
      </c>
      <c r="BK3" t="s">
        <v>130</v>
      </c>
      <c r="BL3" t="s">
        <v>126</v>
      </c>
      <c r="BM3" t="s">
        <v>133</v>
      </c>
      <c r="BN3" t="s">
        <v>132</v>
      </c>
      <c r="BO3" t="s">
        <v>91</v>
      </c>
      <c r="BP3" t="s">
        <v>116</v>
      </c>
      <c r="BQ3" t="s">
        <v>103</v>
      </c>
      <c r="BR3" t="s">
        <v>104</v>
      </c>
      <c r="BS3" t="s">
        <v>131</v>
      </c>
    </row>
    <row r="4" spans="1:71" ht="15" customHeight="1" x14ac:dyDescent="0.25">
      <c r="A4" t="s">
        <v>134</v>
      </c>
      <c r="B4" t="s">
        <v>135</v>
      </c>
      <c r="C4" t="s">
        <v>136</v>
      </c>
      <c r="D4" t="s">
        <v>137</v>
      </c>
      <c r="E4" t="s">
        <v>138</v>
      </c>
      <c r="F4" t="s">
        <v>139</v>
      </c>
      <c r="G4" t="s">
        <v>140</v>
      </c>
      <c r="H4" t="s">
        <v>141</v>
      </c>
      <c r="I4" t="s">
        <v>142</v>
      </c>
      <c r="J4" t="s">
        <v>143</v>
      </c>
      <c r="K4" t="s">
        <v>144</v>
      </c>
      <c r="L4" t="s">
        <v>145</v>
      </c>
      <c r="M4" t="s">
        <v>146</v>
      </c>
      <c r="N4" t="s">
        <v>147</v>
      </c>
      <c r="O4" t="s">
        <v>148</v>
      </c>
      <c r="P4" t="s">
        <v>149</v>
      </c>
      <c r="Q4" t="s">
        <v>150</v>
      </c>
      <c r="R4" t="s">
        <v>151</v>
      </c>
      <c r="S4" t="s">
        <v>152</v>
      </c>
      <c r="T4" t="s">
        <v>153</v>
      </c>
      <c r="U4" t="s">
        <v>154</v>
      </c>
      <c r="V4" t="s">
        <v>155</v>
      </c>
      <c r="W4" t="s">
        <v>156</v>
      </c>
      <c r="X4" t="s">
        <v>157</v>
      </c>
      <c r="Y4" t="s">
        <v>158</v>
      </c>
      <c r="Z4" t="s">
        <v>159</v>
      </c>
      <c r="AA4" t="s">
        <v>160</v>
      </c>
      <c r="AB4" t="s">
        <v>161</v>
      </c>
      <c r="AC4" t="s">
        <v>162</v>
      </c>
      <c r="AD4" t="s">
        <v>163</v>
      </c>
      <c r="AE4" t="s">
        <v>140</v>
      </c>
      <c r="AF4" t="s">
        <v>164</v>
      </c>
      <c r="AG4" t="s">
        <v>165</v>
      </c>
      <c r="AH4" t="s">
        <v>166</v>
      </c>
      <c r="AI4" t="s">
        <v>167</v>
      </c>
      <c r="AJ4" t="s">
        <v>168</v>
      </c>
      <c r="AK4" t="s">
        <v>169</v>
      </c>
      <c r="AL4" t="s">
        <v>170</v>
      </c>
      <c r="AM4" t="s">
        <v>171</v>
      </c>
      <c r="AN4" t="s">
        <v>172</v>
      </c>
      <c r="AO4" t="s">
        <v>173</v>
      </c>
      <c r="AP4" t="s">
        <v>174</v>
      </c>
      <c r="AQ4" t="s">
        <v>175</v>
      </c>
      <c r="AR4" t="s">
        <v>176</v>
      </c>
      <c r="AS4" t="s">
        <v>177</v>
      </c>
      <c r="AT4" t="s">
        <v>178</v>
      </c>
      <c r="AU4" t="s">
        <v>179</v>
      </c>
      <c r="AV4" t="s">
        <v>180</v>
      </c>
      <c r="AW4" t="s">
        <v>181</v>
      </c>
      <c r="AX4" t="s">
        <v>182</v>
      </c>
      <c r="AY4" t="s">
        <v>183</v>
      </c>
      <c r="AZ4" t="s">
        <v>184</v>
      </c>
      <c r="BA4" t="s">
        <v>185</v>
      </c>
      <c r="BB4" t="s">
        <v>186</v>
      </c>
      <c r="BC4" t="s">
        <v>187</v>
      </c>
      <c r="BD4" t="s">
        <v>188</v>
      </c>
      <c r="BE4" t="s">
        <v>189</v>
      </c>
      <c r="BF4" t="s">
        <v>190</v>
      </c>
      <c r="BG4" t="s">
        <v>191</v>
      </c>
      <c r="BH4" t="s">
        <v>192</v>
      </c>
      <c r="BI4" t="s">
        <v>193</v>
      </c>
      <c r="BJ4" t="s">
        <v>194</v>
      </c>
      <c r="BK4" t="s">
        <v>195</v>
      </c>
      <c r="BL4" t="s">
        <v>242</v>
      </c>
      <c r="BM4" t="s">
        <v>196</v>
      </c>
      <c r="BN4" t="s">
        <v>197</v>
      </c>
      <c r="BO4" t="s">
        <v>198</v>
      </c>
      <c r="BP4" t="s">
        <v>199</v>
      </c>
      <c r="BQ4" t="s">
        <v>200</v>
      </c>
      <c r="BR4" t="s">
        <v>201</v>
      </c>
      <c r="BS4" t="s">
        <v>202</v>
      </c>
    </row>
    <row r="5" spans="1:71" ht="15" customHeight="1" x14ac:dyDescent="0.25">
      <c r="A5" t="s">
        <v>203</v>
      </c>
      <c r="D5" t="s">
        <v>204</v>
      </c>
      <c r="E5" t="s">
        <v>205</v>
      </c>
      <c r="G5" t="s">
        <v>206</v>
      </c>
      <c r="H5" t="s">
        <v>207</v>
      </c>
      <c r="I5" t="s">
        <v>208</v>
      </c>
      <c r="J5" t="s">
        <v>209</v>
      </c>
      <c r="K5" t="s">
        <v>210</v>
      </c>
      <c r="L5" t="s">
        <v>211</v>
      </c>
      <c r="M5" t="s">
        <v>212</v>
      </c>
      <c r="N5" t="s">
        <v>213</v>
      </c>
      <c r="P5" t="s">
        <v>214</v>
      </c>
      <c r="Q5" t="s">
        <v>151</v>
      </c>
      <c r="T5" t="s">
        <v>215</v>
      </c>
      <c r="U5" t="s">
        <v>216</v>
      </c>
      <c r="W5" t="s">
        <v>217</v>
      </c>
      <c r="AA5" t="s">
        <v>218</v>
      </c>
      <c r="AB5" t="s">
        <v>219</v>
      </c>
      <c r="AE5" t="s">
        <v>220</v>
      </c>
      <c r="AG5" t="s">
        <v>221</v>
      </c>
      <c r="AI5" t="s">
        <v>222</v>
      </c>
      <c r="AJ5" t="s">
        <v>223</v>
      </c>
      <c r="AK5" t="s">
        <v>224</v>
      </c>
      <c r="AN5" t="s">
        <v>225</v>
      </c>
      <c r="AP5" t="s">
        <v>226</v>
      </c>
      <c r="AS5" t="s">
        <v>227</v>
      </c>
      <c r="AT5" t="s">
        <v>228</v>
      </c>
      <c r="AV5" t="s">
        <v>229</v>
      </c>
      <c r="AX5" t="s">
        <v>230</v>
      </c>
      <c r="AY5" t="s">
        <v>231</v>
      </c>
      <c r="AZ5" t="s">
        <v>232</v>
      </c>
      <c r="BB5" t="s">
        <v>233</v>
      </c>
      <c r="BC5" t="s">
        <v>234</v>
      </c>
      <c r="BD5" t="s">
        <v>235</v>
      </c>
      <c r="BE5" t="s">
        <v>236</v>
      </c>
      <c r="BF5" t="s">
        <v>237</v>
      </c>
      <c r="BG5" t="s">
        <v>238</v>
      </c>
      <c r="BH5" t="s">
        <v>239</v>
      </c>
      <c r="BI5" t="s">
        <v>240</v>
      </c>
      <c r="BJ5" t="s">
        <v>241</v>
      </c>
      <c r="BL5" t="s">
        <v>279</v>
      </c>
      <c r="BO5" t="s">
        <v>243</v>
      </c>
      <c r="BP5" t="s">
        <v>244</v>
      </c>
      <c r="BQ5" t="s">
        <v>245</v>
      </c>
      <c r="BR5" t="s">
        <v>246</v>
      </c>
    </row>
    <row r="6" spans="1:71" ht="15" customHeight="1" x14ac:dyDescent="0.25">
      <c r="A6" t="s">
        <v>247</v>
      </c>
      <c r="D6" t="s">
        <v>248</v>
      </c>
      <c r="E6" t="s">
        <v>249</v>
      </c>
      <c r="G6" t="s">
        <v>250</v>
      </c>
      <c r="H6" t="s">
        <v>251</v>
      </c>
      <c r="J6" t="s">
        <v>252</v>
      </c>
      <c r="L6" t="s">
        <v>253</v>
      </c>
      <c r="M6" t="s">
        <v>254</v>
      </c>
      <c r="N6" t="s">
        <v>255</v>
      </c>
      <c r="P6" t="s">
        <v>256</v>
      </c>
      <c r="Q6" t="s">
        <v>257</v>
      </c>
      <c r="T6" t="s">
        <v>258</v>
      </c>
      <c r="U6" t="s">
        <v>259</v>
      </c>
      <c r="W6" t="s">
        <v>260</v>
      </c>
      <c r="AE6" t="s">
        <v>261</v>
      </c>
      <c r="AG6" t="s">
        <v>262</v>
      </c>
      <c r="AI6" t="s">
        <v>263</v>
      </c>
      <c r="AJ6" t="s">
        <v>264</v>
      </c>
      <c r="AN6" t="s">
        <v>265</v>
      </c>
      <c r="AP6" t="s">
        <v>266</v>
      </c>
      <c r="AT6" t="s">
        <v>267</v>
      </c>
      <c r="AV6" t="s">
        <v>268</v>
      </c>
      <c r="AX6" t="s">
        <v>269</v>
      </c>
      <c r="AY6" t="s">
        <v>270</v>
      </c>
      <c r="AZ6" t="s">
        <v>271</v>
      </c>
      <c r="BC6" t="s">
        <v>272</v>
      </c>
      <c r="BD6" t="s">
        <v>273</v>
      </c>
      <c r="BE6" t="s">
        <v>274</v>
      </c>
      <c r="BF6" t="s">
        <v>275</v>
      </c>
      <c r="BG6" t="s">
        <v>276</v>
      </c>
      <c r="BH6" t="s">
        <v>277</v>
      </c>
      <c r="BI6" t="s">
        <v>278</v>
      </c>
      <c r="BL6" t="s">
        <v>313</v>
      </c>
      <c r="BO6" t="s">
        <v>280</v>
      </c>
      <c r="BP6" t="s">
        <v>281</v>
      </c>
      <c r="BQ6" t="s">
        <v>282</v>
      </c>
      <c r="BR6" t="s">
        <v>283</v>
      </c>
    </row>
    <row r="7" spans="1:71" ht="15" customHeight="1" x14ac:dyDescent="0.25">
      <c r="A7" t="s">
        <v>284</v>
      </c>
      <c r="D7" t="s">
        <v>285</v>
      </c>
      <c r="E7" t="s">
        <v>286</v>
      </c>
      <c r="G7" t="s">
        <v>287</v>
      </c>
      <c r="H7" t="s">
        <v>288</v>
      </c>
      <c r="J7" t="s">
        <v>289</v>
      </c>
      <c r="L7" t="s">
        <v>290</v>
      </c>
      <c r="M7" t="s">
        <v>291</v>
      </c>
      <c r="N7" t="s">
        <v>292</v>
      </c>
      <c r="P7" t="s">
        <v>293</v>
      </c>
      <c r="Q7" t="s">
        <v>294</v>
      </c>
      <c r="T7" t="s">
        <v>295</v>
      </c>
      <c r="U7" t="s">
        <v>296</v>
      </c>
      <c r="W7" t="s">
        <v>297</v>
      </c>
      <c r="AG7" t="s">
        <v>298</v>
      </c>
      <c r="AI7" t="s">
        <v>299</v>
      </c>
      <c r="AJ7" t="s">
        <v>169</v>
      </c>
      <c r="AN7" t="s">
        <v>300</v>
      </c>
      <c r="AP7" t="s">
        <v>301</v>
      </c>
      <c r="AT7" t="s">
        <v>302</v>
      </c>
      <c r="AV7" t="s">
        <v>303</v>
      </c>
      <c r="AX7" t="s">
        <v>304</v>
      </c>
      <c r="AY7" t="s">
        <v>305</v>
      </c>
      <c r="AZ7" t="s">
        <v>306</v>
      </c>
      <c r="BC7" t="s">
        <v>307</v>
      </c>
      <c r="BD7" t="s">
        <v>308</v>
      </c>
      <c r="BE7" t="s">
        <v>309</v>
      </c>
      <c r="BF7" t="s">
        <v>310</v>
      </c>
      <c r="BG7" t="s">
        <v>311</v>
      </c>
      <c r="BH7" t="s">
        <v>312</v>
      </c>
      <c r="BL7" t="s">
        <v>342</v>
      </c>
      <c r="BO7" t="s">
        <v>314</v>
      </c>
      <c r="BP7" t="s">
        <v>315</v>
      </c>
      <c r="BQ7" t="s">
        <v>316</v>
      </c>
      <c r="BR7" t="s">
        <v>317</v>
      </c>
    </row>
    <row r="8" spans="1:71" ht="15" customHeight="1" x14ac:dyDescent="0.25">
      <c r="A8" t="s">
        <v>318</v>
      </c>
      <c r="D8" t="s">
        <v>319</v>
      </c>
      <c r="E8" t="s">
        <v>320</v>
      </c>
      <c r="G8" t="s">
        <v>321</v>
      </c>
      <c r="H8" t="s">
        <v>322</v>
      </c>
      <c r="J8" t="s">
        <v>323</v>
      </c>
      <c r="N8" t="s">
        <v>324</v>
      </c>
      <c r="P8" t="s">
        <v>325</v>
      </c>
      <c r="Q8" t="s">
        <v>326</v>
      </c>
      <c r="T8" t="s">
        <v>327</v>
      </c>
      <c r="U8" t="s">
        <v>328</v>
      </c>
      <c r="AG8" t="s">
        <v>329</v>
      </c>
      <c r="AI8" t="s">
        <v>330</v>
      </c>
      <c r="AJ8" t="s">
        <v>331</v>
      </c>
      <c r="AN8" t="s">
        <v>332</v>
      </c>
      <c r="AP8" t="s">
        <v>333</v>
      </c>
      <c r="AT8" t="s">
        <v>334</v>
      </c>
      <c r="AX8" t="s">
        <v>335</v>
      </c>
      <c r="AY8" t="s">
        <v>336</v>
      </c>
      <c r="AZ8" t="s">
        <v>356</v>
      </c>
      <c r="BC8" t="s">
        <v>357</v>
      </c>
      <c r="BD8" t="s">
        <v>337</v>
      </c>
      <c r="BE8" t="s">
        <v>338</v>
      </c>
      <c r="BF8" t="s">
        <v>339</v>
      </c>
      <c r="BG8" t="s">
        <v>340</v>
      </c>
      <c r="BH8" t="s">
        <v>341</v>
      </c>
      <c r="BP8" t="s">
        <v>343</v>
      </c>
      <c r="BQ8" t="s">
        <v>344</v>
      </c>
      <c r="BR8" t="s">
        <v>345</v>
      </c>
    </row>
    <row r="9" spans="1:71" ht="15" customHeight="1" x14ac:dyDescent="0.25">
      <c r="D9" t="s">
        <v>346</v>
      </c>
      <c r="H9" t="s">
        <v>347</v>
      </c>
      <c r="J9" t="s">
        <v>348</v>
      </c>
      <c r="P9" t="s">
        <v>349</v>
      </c>
      <c r="Q9" t="s">
        <v>350</v>
      </c>
      <c r="T9" t="s">
        <v>351</v>
      </c>
      <c r="AG9" t="s">
        <v>352</v>
      </c>
      <c r="AJ9" t="s">
        <v>353</v>
      </c>
      <c r="AX9" t="s">
        <v>354</v>
      </c>
      <c r="AY9" t="s">
        <v>355</v>
      </c>
      <c r="AZ9" t="s">
        <v>364</v>
      </c>
      <c r="BD9" t="s">
        <v>358</v>
      </c>
      <c r="BE9" t="s">
        <v>359</v>
      </c>
      <c r="BF9" t="s">
        <v>360</v>
      </c>
      <c r="BG9" t="s">
        <v>361</v>
      </c>
      <c r="BH9" t="s">
        <v>176</v>
      </c>
      <c r="BQ9" t="s">
        <v>362</v>
      </c>
      <c r="BR9" t="s">
        <v>363</v>
      </c>
    </row>
    <row r="10" spans="1:71" ht="15" customHeight="1" x14ac:dyDescent="0.25"/>
    <row r="11" spans="1:71" ht="15" customHeight="1" x14ac:dyDescent="0.25"/>
    <row r="12" spans="1:71" ht="15" customHeight="1" x14ac:dyDescent="0.25"/>
    <row r="13" spans="1:71" ht="15" customHeight="1" x14ac:dyDescent="0.25"/>
    <row r="14" spans="1:71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tabSelected="1" zoomScaleNormal="100" workbookViewId="0">
      <selection activeCell="H25" sqref="H25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365</v>
      </c>
      <c r="B1" s="63"/>
      <c r="C1" s="4">
        <f>COUNTIF(AHL_DAT_STRING!4:18,"&lt;&gt;")</f>
        <v>235</v>
      </c>
    </row>
    <row r="2" spans="1:12" ht="15.75" customHeight="1" x14ac:dyDescent="0.25">
      <c r="A2" s="64" t="s">
        <v>366</v>
      </c>
      <c r="B2" s="65"/>
      <c r="C2" s="5">
        <f>C1*4</f>
        <v>940</v>
      </c>
    </row>
    <row r="3" spans="1:12" x14ac:dyDescent="0.25">
      <c r="A3" s="6" t="s">
        <v>366</v>
      </c>
      <c r="B3" s="7">
        <f>COUNTIF(AHL!4:50, "&lt;&gt;")</f>
        <v>940</v>
      </c>
      <c r="E3" s="66" t="s">
        <v>367</v>
      </c>
      <c r="F3" s="65"/>
      <c r="G3" s="65"/>
      <c r="H3" s="65"/>
    </row>
    <row r="4" spans="1:12" ht="15.75" customHeight="1" x14ac:dyDescent="0.25">
      <c r="A4" s="8" t="s">
        <v>368</v>
      </c>
      <c r="B4" s="9">
        <f>SUMIF(AHL!2:2,"sl",AHL!1:1)</f>
        <v>167</v>
      </c>
      <c r="C4">
        <f>AHL!AH1</f>
        <v>11</v>
      </c>
      <c r="E4" t="s">
        <v>369</v>
      </c>
      <c r="F4" t="s">
        <v>370</v>
      </c>
      <c r="G4" t="s">
        <v>371</v>
      </c>
      <c r="H4" t="s">
        <v>372</v>
      </c>
      <c r="I4" t="s">
        <v>373</v>
      </c>
      <c r="J4" t="s">
        <v>374</v>
      </c>
      <c r="K4" t="s">
        <v>375</v>
      </c>
      <c r="L4" t="s">
        <v>376</v>
      </c>
    </row>
    <row r="5" spans="1:12" ht="15.75" customHeight="1" x14ac:dyDescent="0.25">
      <c r="A5" s="8" t="s">
        <v>377</v>
      </c>
      <c r="B5" s="9">
        <f>SUMIF(AHL!2:2,"hr",AHL!1:1)</f>
        <v>0</v>
      </c>
      <c r="E5" s="10" t="s">
        <v>368</v>
      </c>
      <c r="F5" s="11">
        <v>1</v>
      </c>
      <c r="G5" s="12">
        <f>F5/13</f>
        <v>7.6923076923076927E-2</v>
      </c>
      <c r="H5" s="13">
        <f>B4/B3</f>
        <v>0.17765957446808511</v>
      </c>
      <c r="I5" s="14">
        <f>C2*G5</f>
        <v>72.307692307692307</v>
      </c>
      <c r="J5" s="15">
        <f>B4</f>
        <v>167</v>
      </c>
      <c r="K5" s="16">
        <f>J5-I5</f>
        <v>94.692307692307693</v>
      </c>
      <c r="L5" s="17">
        <f>K5/4</f>
        <v>23.673076923076923</v>
      </c>
    </row>
    <row r="6" spans="1:12" ht="15.75" customHeight="1" x14ac:dyDescent="0.25">
      <c r="A6" s="8" t="s">
        <v>1</v>
      </c>
      <c r="B6" s="9">
        <f>SUMIF(AHL!2:2,"it",AHL!1:1)</f>
        <v>375</v>
      </c>
      <c r="C6">
        <f>AHL!AB1</f>
        <v>20</v>
      </c>
      <c r="E6" s="18" t="s">
        <v>377</v>
      </c>
      <c r="F6" s="19">
        <v>1</v>
      </c>
      <c r="G6" s="20">
        <f>F6/13</f>
        <v>7.6923076923076927E-2</v>
      </c>
      <c r="H6" s="13">
        <f>B5/B3</f>
        <v>0</v>
      </c>
      <c r="I6" s="21">
        <f>C2*G6</f>
        <v>72.307692307692307</v>
      </c>
      <c r="J6" s="15">
        <f>B5</f>
        <v>0</v>
      </c>
      <c r="K6" s="22">
        <f>J6-I6</f>
        <v>-72.307692307692307</v>
      </c>
      <c r="L6" s="17">
        <f t="shared" ref="L6" si="0">K6/4</f>
        <v>-18.076923076923077</v>
      </c>
    </row>
    <row r="7" spans="1:12" ht="15.75" customHeight="1" x14ac:dyDescent="0.25">
      <c r="A7" s="23" t="s">
        <v>2</v>
      </c>
      <c r="B7" s="24">
        <f>SUMIF(AHL!2:2,"au",AHL!1:1)</f>
        <v>398</v>
      </c>
      <c r="C7">
        <f>SUM(AHL!AV1,AHL!BA1,AHL!L1,AHL!AF1,AHL!BF1,AHL!BG1,AHL!BH1,AHL!BE1)</f>
        <v>35</v>
      </c>
      <c r="E7" s="25" t="s">
        <v>378</v>
      </c>
      <c r="F7" s="26">
        <v>2</v>
      </c>
      <c r="G7" s="27">
        <f t="shared" ref="G7:G9" si="1">F7/13</f>
        <v>0.15384615384615385</v>
      </c>
      <c r="H7" s="28">
        <f>(B5+B4)/B3</f>
        <v>0.17765957446808511</v>
      </c>
      <c r="I7" s="29">
        <f>C2*G7</f>
        <v>144.61538461538461</v>
      </c>
      <c r="J7" s="30">
        <f>B4+B5</f>
        <v>167</v>
      </c>
      <c r="K7" s="31">
        <f>J7-I7</f>
        <v>22.384615384615387</v>
      </c>
      <c r="L7" s="32">
        <f>K7/4</f>
        <v>5.5961538461538467</v>
      </c>
    </row>
    <row r="8" spans="1:12" ht="15.75" customHeight="1" x14ac:dyDescent="0.25">
      <c r="A8" s="33" t="s">
        <v>379</v>
      </c>
      <c r="C8">
        <f>SUM(C4:C7)</f>
        <v>66</v>
      </c>
      <c r="E8" s="8" t="s">
        <v>380</v>
      </c>
      <c r="F8" s="34">
        <v>7</v>
      </c>
      <c r="G8" s="35">
        <f t="shared" si="1"/>
        <v>0.53846153846153844</v>
      </c>
      <c r="H8" s="36">
        <f>B6/B3</f>
        <v>0.39893617021276595</v>
      </c>
      <c r="I8" s="37">
        <f>C2*G8</f>
        <v>506.15384615384613</v>
      </c>
      <c r="J8">
        <f>B6</f>
        <v>375</v>
      </c>
      <c r="K8" s="38">
        <f>J8-I8</f>
        <v>-131.15384615384613</v>
      </c>
      <c r="L8" s="39">
        <f>K8/4</f>
        <v>-32.788461538461533</v>
      </c>
    </row>
    <row r="9" spans="1:12" ht="15.75" customHeight="1" x14ac:dyDescent="0.25">
      <c r="A9" t="s">
        <v>381</v>
      </c>
      <c r="B9">
        <f>SUM(B4:B7)</f>
        <v>940</v>
      </c>
      <c r="E9" s="23" t="s">
        <v>382</v>
      </c>
      <c r="F9" s="40">
        <v>4</v>
      </c>
      <c r="G9" s="41">
        <f t="shared" si="1"/>
        <v>0.30769230769230771</v>
      </c>
      <c r="H9" s="36">
        <f>B7/B3</f>
        <v>0.42340425531914894</v>
      </c>
      <c r="I9" s="42">
        <f>C2*G9</f>
        <v>289.23076923076923</v>
      </c>
      <c r="J9" s="43">
        <f>B7</f>
        <v>398</v>
      </c>
      <c r="K9" s="44">
        <f>J9-I9</f>
        <v>108.76923076923077</v>
      </c>
      <c r="L9" s="45">
        <f>K9/4</f>
        <v>27.192307692307693</v>
      </c>
    </row>
    <row r="11" spans="1:12" x14ac:dyDescent="0.25">
      <c r="H11" s="46" t="s">
        <v>383</v>
      </c>
      <c r="I11" s="47">
        <f>SUM(I7:I9)</f>
        <v>940</v>
      </c>
      <c r="J11" s="48">
        <f>SUM(J7:J9)</f>
        <v>940</v>
      </c>
      <c r="K11" s="49">
        <f>SUM(K7:K9)</f>
        <v>0</v>
      </c>
      <c r="L11" s="50">
        <f>SUM(L7:L9)</f>
        <v>0</v>
      </c>
    </row>
    <row r="12" spans="1:12" x14ac:dyDescent="0.25">
      <c r="E12" t="s">
        <v>384</v>
      </c>
    </row>
    <row r="13" spans="1:12" ht="15.75" customHeight="1" x14ac:dyDescent="0.25">
      <c r="A13" t="s">
        <v>385</v>
      </c>
      <c r="B13">
        <f>C1/2/6</f>
        <v>19.583333333333332</v>
      </c>
      <c r="F13" t="s">
        <v>386</v>
      </c>
      <c r="G13" t="s">
        <v>387</v>
      </c>
      <c r="J13" s="51" t="s">
        <v>388</v>
      </c>
    </row>
    <row r="14" spans="1:12" ht="15.75" customHeight="1" x14ac:dyDescent="0.25">
      <c r="E14" t="s">
        <v>382</v>
      </c>
      <c r="F14" s="6">
        <v>11</v>
      </c>
      <c r="G14" s="52">
        <v>13</v>
      </c>
      <c r="H14" s="53">
        <f>SUM(F14:G14)</f>
        <v>24</v>
      </c>
      <c r="J14">
        <f>B7/H14</f>
        <v>16.583333333333332</v>
      </c>
    </row>
    <row r="15" spans="1:12" ht="15.75" customHeight="1" x14ac:dyDescent="0.25">
      <c r="E15" t="s">
        <v>389</v>
      </c>
      <c r="F15" s="8">
        <v>9</v>
      </c>
      <c r="G15" s="54">
        <v>12</v>
      </c>
      <c r="H15" s="53">
        <f>SUM(F15:G15)</f>
        <v>21</v>
      </c>
      <c r="J15">
        <f>B6/H15</f>
        <v>17.857142857142858</v>
      </c>
    </row>
    <row r="16" spans="1:12" ht="15.75" customHeight="1" x14ac:dyDescent="0.25">
      <c r="E16" t="s">
        <v>378</v>
      </c>
      <c r="F16" s="55">
        <v>6</v>
      </c>
      <c r="G16" s="56">
        <v>6</v>
      </c>
      <c r="H16" s="53">
        <f>SUM(F16:G16)</f>
        <v>12</v>
      </c>
      <c r="J16">
        <f>B4/H16</f>
        <v>13.916666666666666</v>
      </c>
    </row>
    <row r="17" spans="5:17" ht="15.75" customHeight="1" x14ac:dyDescent="0.25">
      <c r="E17" s="57" t="s">
        <v>390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16.491228070175438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391</v>
      </c>
      <c r="E1" s="65"/>
      <c r="F1" s="65"/>
      <c r="G1" s="65"/>
    </row>
    <row r="2" spans="1:7" x14ac:dyDescent="0.25">
      <c r="A2" s="59" t="s">
        <v>392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393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2026-01-05T12:02:16Z</dcterms:modified>
</cp:coreProperties>
</file>