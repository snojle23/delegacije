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<sst xmlns="http://schemas.openxmlformats.org/spreadsheetml/2006/main" count="1948" uniqueCount="336">
  <si>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</si>
  <si>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</si>
  <si>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</si>
  <si>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</si>
  <si>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</si>
  <si>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</si>
  <si>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</si>
  <si>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</si>
  <si>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</si>
  <si>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</si>
  <si>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</si>
  <si>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</si>
  <si>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</si>
  <si>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</si>
  <si>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</si>
  <si>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</si>
  <si>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</si>
  <si>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</si>
  <si>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</si>
  <si>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</si>
  <si>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</si>
  <si>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</si>
  <si>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</si>
  <si>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</si>
  <si>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</si>
  <si>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</si>
  <si>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</si>
  <si>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</si>
  <si>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</si>
  <si>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</si>
  <si>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</si>
  <si>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</si>
  <si>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</si>
  <si>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</si>
  <si>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</si>
  <si>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</si>
  <si>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</si>
  <si>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</si>
  <si>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</si>
  <si>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</si>
  <si>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</si>
  <si>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</si>
  <si>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</si>
  <si>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</si>
  <si>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</si>
  <si>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</si>
  <si>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</si>
  <si>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</si>
  <si>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</si>
  <si>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</si>
  <si>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</si>
  <si>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</si>
  <si>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</si>
  <si>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</si>
  <si>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</si>
  <si>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</si>
  <si>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</si>
  <si>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</si>
  <si>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</si>
  <si>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</si>
  <si>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</si>
  <si>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</si>
  <si>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</si>
  <si>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</si>
  <si>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</si>
  <si>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</si>
  <si>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</si>
  <si>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</si>
  <si>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</si>
  <si>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</si>
  <si>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</si>
  <si>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</si>
  <si>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</si>
  <si>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</si>
  <si>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</si>
  <si>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</si>
  <si>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</si>
  <si>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</si>
  <si>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</si>
  <si>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</si>
  <si>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</si>
  <si>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</si>
  <si>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</si>
  <si>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</si>
  <si>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</si>
  <si>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</si>
  <si>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</si>
  <si>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</si>
  <si>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</si>
  <si>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</si>
  <si>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</si>
  <si>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</si>
  <si>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</si>
  <si>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</si>
  <si>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</si>
  <si>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</si>
  <si>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</si>
  <si>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</si>
  <si>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</si>
  <si>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</si>
  <si>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</si>
  <si>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</si>
  <si>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</si>
  <si>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</si>
  <si>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</si>
  <si>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</si>
  <si>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</si>
  <si>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</si>
  <si>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</si>
  <si>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2024-12-30</t>
  </si>
  <si>
    <t>2024-11-02</t>
  </si>
  <si>
    <t>2024-12-19</t>
  </si>
  <si>
    <t>2024-12-21</t>
  </si>
  <si>
    <t>2024-11-17</t>
  </si>
  <si>
    <t>2024-12-05</t>
  </si>
  <si>
    <t>2024-11-21</t>
  </si>
  <si>
    <t>2024-11-12</t>
  </si>
  <si>
    <t>2024-12-22</t>
  </si>
  <si>
    <t>2024-11-26</t>
  </si>
  <si>
    <t>2025-01-05</t>
  </si>
  <si>
    <t>2025-01-02</t>
  </si>
  <si>
    <t>2024-11-19</t>
  </si>
  <si>
    <t>2025-01-06</t>
  </si>
  <si>
    <t>2024-12-01</t>
  </si>
  <si>
    <t>2024-11-24</t>
  </si>
  <si>
    <t>2025-01-04</t>
  </si>
  <si>
    <t>2025-01-03</t>
  </si>
  <si>
    <t>2024-12-04</t>
  </si>
  <si>
    <t>zbrisano</t>
  </si>
  <si>
    <t>2024-12-27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</si>
  <si>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</si>
  <si>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</si>
  <si>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</si>
  <si>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</si>
  <si>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</si>
  <si>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</si>
  <si>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</si>
  <si>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</si>
  <si>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</si>
  <si>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</si>
  <si>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</si>
  <si>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</si>
  <si>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</si>
  <si>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</si>
  <si>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</si>
  <si>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</si>
  <si>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</si>
  <si>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</si>
  <si>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</si>
  <si>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</si>
  <si>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</si>
  <si>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</si>
  <si>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</si>
  <si>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</si>
  <si>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</si>
  <si>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</si>
  <si>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</si>
  <si>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</si>
  <si>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</si>
  <si>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</si>
  <si>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</si>
  <si>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</si>
  <si>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</si>
  <si>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Dornbirn;HolzerTo;Huber rRe;DivisDo;RinkerDa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</si>
  <si>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</si>
  <si>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</si>
  <si>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</si>
  <si>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</si>
  <si>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</si>
  <si>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</si>
  <si>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Kitzbühel;HlavatyAl;MeixnerSe;EislCh;WeissAl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</si>
  <si>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</si>
  <si>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</si>
  <si>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</si>
  <si>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Jesenice;KainbergerJu;LehnerMo;MarkizetiGr;MattheyPh</t>
  </si>
  <si>
    <t>Eishalle Sterzing;BrockAd;MoidlDa;FecchioFe;MattheyPh</t>
  </si>
  <si>
    <t>Eishalle Ritten;BenvegnuAn;SoraperraSi;BrondiPa;WeissAl</t>
  </si>
  <si>
    <t>Würtharena Neumarkt;LazzeriAl;PinieOm;AbeltinoSi;BrondiPa</t>
  </si>
  <si>
    <t>Eishalle Jesenice;LesniakBo;UnterwegerDo;ArlicMa;JavornikBl</t>
  </si>
  <si>
    <t>Eishalle Celje;OrelSt;WidmannFl;EislCh;StrimitzerDa</t>
  </si>
  <si>
    <t>Eishalle Dornbirn;OrelSt;WidmannFl;StrimitzerDa;WuchererGe</t>
  </si>
  <si>
    <t>Sportpark Kitzbühel;HlavatyAl;VoicanCh;EislCh;RinkerDa</t>
  </si>
  <si>
    <t>KELIT Arena Zell am See;HolzerTo;KainbergerJu;TelesklavFa;WendnerMa</t>
  </si>
  <si>
    <t>Eishalle Sterzing;Huber rRe;SnojTa;FleischmannLu;RivisAn</t>
  </si>
  <si>
    <t>Eishalle Sissek Zibel;LesniakBo;WidmannFl;ArlicMa;TelesklavFa</t>
  </si>
  <si>
    <t>Eishalle Jesenice;OrelSt;VoicanCh;PreiserJu;WuchererGe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</si>
  <si>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</si>
  <si>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</si>
  <si>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</si>
  <si>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</si>
  <si>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</si>
  <si>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</si>
  <si>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</si>
  <si>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</si>
  <si>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</si>
  <si>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</si>
  <si>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</si>
  <si>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</si>
  <si>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</si>
  <si>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</si>
  <si>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</si>
  <si>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</si>
  <si>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</si>
  <si>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</si>
  <si>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</si>
  <si>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</si>
  <si>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</si>
  <si>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</si>
  <si>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</si>
  <si>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</si>
  <si>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</si>
  <si>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</si>
  <si>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Gröden;BulovecMi;PinieOm;AbeltinoSi;ArlicMa</t>
  </si>
  <si>
    <t>Eishalle Celje;LesniakBo;UnterwegerDo;JeramFi;TelesklavFa</t>
  </si>
  <si>
    <t>Sportpark Kitzbühel;OrelSt;WidmannFl;EislCh;WuchererGe</t>
  </si>
  <si>
    <t>Eishalle Celje;BulovecMi;HlavatyAl;LegatKo;TelesklavFa</t>
  </si>
  <si>
    <t>Eishalle Dornbirn;HolzerTo;LegaSi;DivisDo;JägerRi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</si>
  <si>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</si>
  <si>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</si>
  <si>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</si>
  <si>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Gröden;BenvegnuAn;LazzeriAl;CristeliMa;PaceJa</t>
  </si>
  <si>
    <t>Eishalle Celje;BajtMi;BulovecMi;JavornikBl;MarkizetiGr</t>
  </si>
  <si>
    <t>Würtharena Neumarkt;Huber rRe;LegaSi;CusinFe;RinkerDa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</si>
  <si>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</si>
  <si>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</si>
  <si>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</si>
  <si>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</si>
  <si>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</si>
  <si>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</si>
  <si>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</si>
  <si>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</si>
  <si>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</si>
  <si>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</si>
  <si>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</si>
  <si>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</si>
  <si>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</si>
  <si>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</si>
  <si>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</si>
  <si>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</si>
  <si>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</si>
  <si>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</si>
  <si>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</si>
  <si>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</si>
  <si>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</si>
  <si>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</si>
  <si>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</si>
  <si>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</si>
  <si>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</si>
  <si>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</si>
  <si>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</si>
  <si>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Kitzbühel;MetzingerFi;WenuschHe;KnezRo;LegatKo</t>
  </si>
  <si>
    <t>Eishalle Meran;Huber rRe;RuetzMa;FecchioFe;ScalzeriAl</t>
  </si>
  <si>
    <t>Eishalle Cortina;EggerTh;PinieOm;AbeltinoSi;FormaioniTh</t>
  </si>
  <si>
    <t>Eishalle Jesenice;MeixnerSe;MetzingerFi;KnezRo;LegatKo</t>
  </si>
  <si>
    <t>Eishalle Ritten;SoraperraSi;StefenelliFe;FecchioFe;GrisentiLu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</si>
  <si>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</si>
  <si>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</si>
  <si>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</si>
  <si>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</si>
  <si>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</si>
  <si>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</si>
  <si>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</si>
  <si>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</si>
  <si>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</si>
  <si>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</si>
  <si>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</si>
  <si>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</si>
  <si>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</si>
  <si>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</si>
  <si>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</si>
  <si>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</si>
  <si>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</si>
  <si>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</si>
  <si>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</si>
  <si>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</si>
  <si>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</si>
  <si>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Gröden;LehnerMo;MoidlDa;BrondiPa;MoidlMa</t>
  </si>
  <si>
    <t>Eishalle Sterzing;EggerTh;Huber rRe;AbeltinoSi;GrisentiLu</t>
  </si>
  <si>
    <t>Eishalle Dornbirn;RuetzMa;SpiegelSe;DivisDo;JägerRi</t>
  </si>
  <si>
    <t>Eishalle Cortina;GiacomozziFe;PinieOm;CristeliMa;CusinFe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</si>
  <si>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</si>
  <si>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</si>
  <si>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</si>
  <si>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</si>
  <si>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</si>
  <si>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</si>
  <si>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</si>
  <si>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</si>
  <si>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</si>
  <si>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</si>
  <si>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</si>
  <si>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</si>
  <si>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</si>
  <si>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</si>
  <si>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</si>
  <si>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</si>
  <si>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</si>
  <si>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</si>
  <si>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</si>
  <si>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</si>
  <si>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</si>
  <si>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</si>
  <si>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</si>
  <si>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</si>
  <si>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</si>
  <si>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</si>
  <si>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Celje;HlavatyAl;PirasAn;PreiserJu;ScalzeriAl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</si>
  <si>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</si>
  <si>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</si>
  <si>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</si>
  <si>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</si>
  <si>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</si>
  <si>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</si>
  <si>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Cortina;LebenJa;MoschenAn;CristeliMa;JeramFi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</si>
  <si>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</si>
  <si>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</si>
  <si>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</si>
  <si>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</si>
  <si>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</si>
  <si>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</si>
  <si>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</si>
  <si>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</si>
  <si>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</si>
  <si>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</si>
  <si>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</si>
  <si>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</si>
  <si>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</si>
  <si>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It</t>
  </si>
  <si>
    <t>kotrola</t>
  </si>
  <si>
    <t>Aut</t>
  </si>
  <si>
    <t>kontrola</t>
  </si>
  <si>
    <t>till 6.1.2025</t>
  </si>
  <si>
    <t>% games per team</t>
  </si>
  <si>
    <t>Data untill 7.12.2024</t>
  </si>
  <si>
    <t>Expected assignmnets per country based on team %</t>
  </si>
  <si>
    <t>Actual assigned games per 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</si>
</sst>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ck"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0" xfId="0" applyFont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7" borderId="13" xfId="0" applyFill="1" applyBorder="1"/>
    <xf numFmtId="0" fontId="0" fillId="7" borderId="13" xfId="0" applyFill="1" applyBorder="1" applyAlignment="1">
      <alignment horizontal="center"/>
    </xf>
    <xf numFmtId="10" fontId="0" fillId="7" borderId="14" xfId="0" applyNumberFormat="1" applyFill="1" applyBorder="1" applyAlignment="1">
      <alignment horizontal="center"/>
    </xf>
    <xf numFmtId="10" fontId="0" fillId="7" borderId="4" xfId="0" applyNumberFormat="1" applyFill="1" applyBorder="1"/>
    <xf numFmtId="1" fontId="0" fillId="8" borderId="13" xfId="0" applyNumberFormat="1" applyFill="1" applyBorder="1"/>
    <xf numFmtId="1" fontId="2" fillId="9" borderId="13" xfId="0" applyNumberFormat="1" applyFont="1" applyFill="1" applyBorder="1"/>
    <xf numFmtId="2" fontId="0" fillId="0" borderId="0" xfId="0" applyNumberFormat="1"/>
    <xf numFmtId="0" fontId="0" fillId="0" borderId="15" xfId="0" applyBorder="1"/>
    <xf numFmtId="0" fontId="0" fillId="0" borderId="16" xfId="0" applyBorder="1"/>
    <xf numFmtId="0" fontId="0" fillId="10" borderId="13" xfId="0" applyFill="1" applyBorder="1"/>
    <xf numFmtId="0" fontId="0" fillId="10" borderId="13" xfId="0" applyFill="1" applyBorder="1" applyAlignment="1">
      <alignment horizontal="center"/>
    </xf>
    <xf numFmtId="10" fontId="0" fillId="10" borderId="14" xfId="0" applyNumberFormat="1" applyFill="1" applyBorder="1" applyAlignment="1">
      <alignment horizontal="center"/>
    </xf>
    <xf numFmtId="10" fontId="0" fillId="10" borderId="17" xfId="0" applyNumberFormat="1" applyFill="1" applyBorder="1"/>
    <xf numFmtId="0" fontId="0" fillId="0" borderId="13" xfId="0" applyBorder="1"/>
    <xf numFmtId="0" fontId="0" fillId="0" borderId="13" xfId="0" applyBorder="1" applyAlignment="1">
      <alignment horizontal="center"/>
    </xf>
    <xf numFmtId="10" fontId="0" fillId="0" borderId="14" xfId="0" applyNumberFormat="1" applyBorder="1" applyAlignment="1">
      <alignment horizontal="center"/>
    </xf>
    <xf numFmtId="10" fontId="0" fillId="0" borderId="18" xfId="0" applyNumberFormat="1" applyBorder="1"/>
    <xf numFmtId="1" fontId="3" fillId="11" borderId="13" xfId="0" applyNumberFormat="1" applyFont="1" applyFill="1" applyBorder="1"/>
    <xf numFmtId="0" fontId="0" fillId="0" borderId="14" xfId="0" applyBorder="1" applyAlignment="1">
      <alignment horizontal="right"/>
    </xf>
    <xf numFmtId="2" fontId="0" fillId="0" borderId="19" xfId="0" applyNumberFormat="1" applyBorder="1"/>
    <xf numFmtId="1" fontId="0" fillId="0" borderId="19" xfId="0" applyNumberFormat="1" applyBorder="1"/>
    <xf numFmtId="2" fontId="0" fillId="0" borderId="13" xfId="0" applyNumberFormat="1" applyBorder="1"/>
    <xf numFmtId="0" fontId="4" fillId="0" borderId="0" xfId="0" applyFont="1"/>
    <xf numFmtId="0" fontId="0" fillId="10" borderId="9" xfId="0" applyFill="1" applyBorder="1"/>
    <xf numFmtId="0" fontId="0" fillId="10" borderId="20" xfId="0" applyFill="1" applyBorder="1" applyAlignment="1">
      <alignment horizontal="center"/>
    </xf>
    <xf numFmtId="10" fontId="0" fillId="10" borderId="20" xfId="0" applyNumberFormat="1" applyFill="1" applyBorder="1" applyAlignment="1">
      <alignment horizontal="center"/>
    </xf>
    <xf numFmtId="10" fontId="0" fillId="10" borderId="20" xfId="0" applyNumberFormat="1" applyFill="1" applyBorder="1"/>
    <xf numFmtId="1" fontId="4" fillId="10" borderId="20" xfId="0" applyNumberFormat="1" applyFont="1" applyFill="1" applyBorder="1" applyAlignment="1">
      <alignment horizontal="center"/>
    </xf>
    <xf numFmtId="0" fontId="4" fillId="10" borderId="20" xfId="0" applyFont="1" applyFill="1" applyBorder="1" applyAlignment="1">
      <alignment horizontal="center"/>
    </xf>
    <xf numFmtId="1" fontId="2" fillId="9" borderId="10" xfId="0" applyNumberFormat="1" applyFont="1" applyFill="1" applyBorder="1" applyAlignment="1">
      <alignment horizontal="center"/>
    </xf>
    <xf numFmtId="0" fontId="0" fillId="4" borderId="11" xfId="0" applyFill="1" applyBorder="1"/>
    <xf numFmtId="0" fontId="0" fillId="4" borderId="13" xfId="0" applyFill="1" applyBorder="1" applyAlignment="1">
      <alignment horizontal="center"/>
    </xf>
    <xf numFmtId="10" fontId="0" fillId="4" borderId="13" xfId="0" applyNumberFormat="1" applyFill="1" applyBorder="1" applyAlignment="1">
      <alignment horizontal="center"/>
    </xf>
    <xf numFmtId="10" fontId="0" fillId="4" borderId="13" xfId="0" applyNumberFormat="1" applyFill="1" applyBorder="1"/>
    <xf numFmtId="1" fontId="4" fillId="4" borderId="13" xfId="0" applyNumberFormat="1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1" fontId="2" fillId="9" borderId="12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5" xfId="0" applyFill="1" applyBorder="1"/>
    <xf numFmtId="0" fontId="0" fillId="12" borderId="21" xfId="0" applyFill="1" applyBorder="1" applyAlignment="1">
      <alignment horizontal="center"/>
    </xf>
    <xf numFmtId="10" fontId="0" fillId="12" borderId="21" xfId="0" applyNumberFormat="1" applyFill="1" applyBorder="1" applyAlignment="1">
      <alignment horizontal="center"/>
    </xf>
    <xf numFmtId="10" fontId="0" fillId="12" borderId="21" xfId="0" applyNumberFormat="1" applyFill="1" applyBorder="1"/>
    <xf numFmtId="1" fontId="4" fillId="12" borderId="21" xfId="0" applyNumberFormat="1" applyFont="1" applyFill="1" applyBorder="1" applyAlignment="1">
      <alignment horizontal="center"/>
    </xf>
    <xf numFmtId="0" fontId="4" fillId="12" borderId="21" xfId="0" applyFont="1" applyFill="1" applyBorder="1" applyAlignment="1">
      <alignment horizontal="center"/>
    </xf>
    <xf numFmtId="1" fontId="3" fillId="11" borderId="16" xfId="0" applyNumberFormat="1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/>
    <xf numFmtId="0" fontId="0" fillId="0" borderId="18" xfId="0" applyBorder="1"/>
    <xf numFmtId="0" fontId="0" fillId="0" borderId="2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73"/>
  <sheetViews>
    <sheetView workbookViewId="0" zoomScale="100" zoomScaleNormal="100">
      <selection activeCell="BH9" sqref="BH9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9" max="69" width="11.140625" customWidth="1"/>
    <col min="73" max="73" width="13.5703125" customWidth="1"/>
  </cols>
  <sheetData>
    <row r="1" ht="14.45" customHeight="1" spans="1:69" x14ac:dyDescent="0.25">
      <c r="A1">
        <f>COUNTIF(A4:A69,"&lt;&gt;")</f>
        <v>12</v>
      </c>
      <c r="B1">
        <f>COUNTIF(B4:B68,"&lt;&gt;")</f>
        <v>11</v>
      </c>
      <c r="C1">
        <f>COUNTIF(C4:C68,"&lt;&gt;")</f>
        <v>11</v>
      </c>
      <c r="D1">
        <f>COUNTIF(D4:D67,"&lt;&gt;")</f>
        <v>13</v>
      </c>
      <c r="E1">
        <f>COUNTIF(E4:E67,"&lt;&gt;")</f>
        <v>14</v>
      </c>
      <c r="F1">
        <f>COUNTIF(F4:F69,"&lt;&gt;")</f>
        <v>10</v>
      </c>
      <c r="G1">
        <f>COUNTIF(G4:G68,"&lt;&gt;")</f>
        <v>4</v>
      </c>
      <c r="H1">
        <f>COUNTIF(H4:H68,"&lt;&gt;")</f>
        <v>11</v>
      </c>
      <c r="I1">
        <f>COUNTIF(I4:I69,"&lt;&gt;")</f>
        <v>11</v>
      </c>
      <c r="J1">
        <f>COUNTIF(J4:J68,"&lt;&gt;")</f>
        <v>8</v>
      </c>
      <c r="K1">
        <f>COUNTIF(K4:K70,"&lt;&gt;")</f>
        <v>11</v>
      </c>
      <c r="L1">
        <f>COUNTIF(L4:L69,"&lt;&gt;")</f>
        <v>11</v>
      </c>
      <c r="M1">
        <f>COUNTIF(M4:M70,"&lt;&gt;")</f>
        <v>1</v>
      </c>
      <c r="N1">
        <f>COUNTIF(N4:N68,"&lt;&gt;")</f>
        <v>12</v>
      </c>
      <c r="O1">
        <f>COUNTIF(O4:O68,"&lt;&gt;")</f>
        <v>14</v>
      </c>
      <c r="P1">
        <f t="shared" ref="P1:BF1" si="0">COUNTIF(P4:P70,"&lt;&gt;")</f>
        <v>15</v>
      </c>
      <c r="Q1">
        <f>COUNTIF(Q4:Q68,"&lt;&gt;")</f>
        <v>16</v>
      </c>
      <c r="R1">
        <f>COUNTIF(R4:R66,"&lt;&gt;")</f>
        <v>16</v>
      </c>
      <c r="S1">
        <f>COUNTIF(S4:S69,"&lt;&gt;")</f>
        <v>17</v>
      </c>
      <c r="T1">
        <f>COUNTIF(T4:T68,"&lt;&gt;")</f>
        <v>13</v>
      </c>
      <c r="U1">
        <f>COUNTIF(U4:U69,"&lt;&gt;")</f>
        <v>16</v>
      </c>
      <c r="V1">
        <f>COUNTIF(V4:V67,"&lt;&gt;")</f>
        <v>12</v>
      </c>
      <c r="W1">
        <f>COUNTIF(W4:W69,"&lt;&gt;")</f>
        <v>15</v>
      </c>
      <c r="X1">
        <f>COUNTIF(X4:X68,"&lt;&gt;")</f>
        <v>5</v>
      </c>
      <c r="Y1">
        <f>COUNTIF(Y4:Y68,"&lt;&gt;")</f>
        <v>9</v>
      </c>
      <c r="Z1">
        <f t="shared" si="0"/>
        <v>14</v>
      </c>
      <c r="AA1">
        <f>COUNTIF(AA4:AA66,"&lt;&gt;")</f>
        <v>13</v>
      </c>
      <c r="AB1">
        <f>COUNTIF(AB4:AB68,"&lt;&gt;")</f>
        <v>11</v>
      </c>
      <c r="AC1">
        <f>COUNTIF(AC4:AC69,"&lt;&gt;")</f>
        <v>13</v>
      </c>
      <c r="AD1">
        <f>COUNTIF(AD4:AD69,"&lt;&gt;")</f>
        <v>12</v>
      </c>
      <c r="AE1">
        <f>COUNTIF(AE4:AE67,"&lt;&gt;")</f>
        <v>10</v>
      </c>
      <c r="AF1">
        <f>COUNTIF(AF4:AF64,"&lt;&gt;")</f>
        <v>11</v>
      </c>
      <c r="AG1">
        <f>COUNTIF(AG4:AG67,"&lt;&gt;")</f>
        <v>11</v>
      </c>
      <c r="AH1">
        <f>COUNTIF(AH4:AH68,"&lt;&gt;")</f>
        <v>11</v>
      </c>
      <c r="AI1">
        <f>COUNTIF(AI4:AI69,"&lt;&gt;")</f>
        <v>6</v>
      </c>
      <c r="AJ1">
        <f>COUNTIF(AJ4:AJ64,"&lt;&gt;")</f>
        <v>9</v>
      </c>
      <c r="AK1">
        <f>COUNTIF(AK4:AK65,"&lt;&gt;")</f>
        <v>14</v>
      </c>
      <c r="AL1">
        <f>COUNTIF(AL4:AL68,"&lt;&gt;")</f>
        <v>10</v>
      </c>
      <c r="AM1">
        <f>COUNTIF(AM4:AM67,"&lt;&gt;")</f>
        <v>14</v>
      </c>
      <c r="AN1">
        <f>COUNTIF(AN4:AN65,"&lt;&gt;")</f>
        <v>13</v>
      </c>
      <c r="AO1">
        <f>COUNTIF(AO4:AO67,"&lt;&gt;")</f>
        <v>12</v>
      </c>
      <c r="AP1">
        <f>COUNTIF(AP4:AP67,"&lt;&gt;")</f>
        <v>12</v>
      </c>
      <c r="AQ1">
        <f>COUNTIF(AQ4:AQ68,"&lt;&gt;")</f>
        <v>11</v>
      </c>
      <c r="AR1">
        <f>COUNTIF(AR4:AR63,"&lt;&gt;")</f>
        <v>16</v>
      </c>
      <c r="AS1">
        <f>COUNTIF(AS4:AS69,"&lt;&gt;")</f>
        <v>10</v>
      </c>
      <c r="AT1">
        <f>COUNTIF(AT4:AT67,"&lt;&gt;")</f>
        <v>16</v>
      </c>
      <c r="AU1">
        <f>COUNTIF(AU4:AU69,"&lt;&gt;")</f>
        <v>10</v>
      </c>
      <c r="AV1">
        <f>COUNTIF(AV4:AV65,"&lt;&gt;")</f>
        <v>12</v>
      </c>
      <c r="AW1">
        <f>COUNTIF(AW4:AW65,"&lt;&gt;")</f>
        <v>14</v>
      </c>
      <c r="AX1">
        <f>COUNTIF(AX4:AX67,"&lt;&gt;")</f>
        <v>14</v>
      </c>
      <c r="AY1">
        <f>COUNTIF(AY4:AY67,"&lt;&gt;")</f>
        <v>13</v>
      </c>
      <c r="AZ1">
        <f>COUNTIF(AZ4:AZ65,"&lt;&gt;")</f>
        <v>14</v>
      </c>
      <c r="BA1">
        <f t="shared" si="0"/>
        <v>14</v>
      </c>
      <c r="BB1">
        <f>COUNTIF(BB4:BB69,"&lt;&gt;")</f>
        <v>15</v>
      </c>
      <c r="BC1">
        <f>COUNTIF(BC4:BC68,"&lt;&gt;")</f>
        <v>10</v>
      </c>
      <c r="BD1">
        <f t="shared" si="0"/>
        <v>10</v>
      </c>
      <c r="BE1">
        <f>COUNTIF(BE4:BE67,"&lt;&gt;")</f>
        <v>5</v>
      </c>
      <c r="BF1">
        <f t="shared" si="0"/>
        <v>6</v>
      </c>
      <c r="BG1">
        <f>COUNTIF(BG4:BG66,"&lt;&gt;")</f>
        <v>4</v>
      </c>
      <c r="BH1">
        <f>COUNTIF(BH4:BH69,"&lt;&gt;")</f>
        <v>6</v>
      </c>
      <c r="BI1">
        <f t="shared" ref="BI1:BQ1" si="1">COUNTIF(BI4:BI70,"&lt;&gt;")</f>
        <v>1</v>
      </c>
      <c r="BJ1">
        <f>COUNTIF(BJ4:BJ68,"&lt;&gt;")</f>
        <v>7</v>
      </c>
      <c r="BK1">
        <f>COUNTIF(BK4:BK65,"&lt;&gt;")</f>
        <v>10</v>
      </c>
      <c r="BL1">
        <f t="shared" si="1"/>
        <v>1</v>
      </c>
      <c r="BM1">
        <f t="shared" ref="BM1" si="2">COUNTIF(BM4:BM69,"&lt;&gt;")</f>
        <v>9</v>
      </c>
      <c r="BN1">
        <f>COUNTIF(BN4:BN68,"&lt;&gt;")</f>
        <v>9</v>
      </c>
      <c r="BO1">
        <f t="shared" si="1"/>
        <v>6</v>
      </c>
      <c r="BP1">
        <f t="shared" si="1"/>
        <v>6</v>
      </c>
      <c r="BQ1">
        <f t="shared" si="1"/>
        <v>3</v>
      </c>
    </row>
    <row r="2" ht="14.45" customHeight="1" spans="1:69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ht="15" customHeight="1" spans="1:70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s="6" t="s">
        <v>71</v>
      </c>
      <c r="BQ3" t="s">
        <v>72</v>
      </c>
    </row>
    <row r="4" ht="15" customHeight="1" spans="1:69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ht="15" customHeight="1" spans="1:69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s="6" t="s">
        <v>93</v>
      </c>
      <c r="K5" t="s">
        <v>76</v>
      </c>
      <c r="L5" t="s">
        <v>80</v>
      </c>
      <c r="M5" s="7"/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s="8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s="8" t="s">
        <v>100</v>
      </c>
      <c r="BH5" t="s">
        <v>101</v>
      </c>
      <c r="BI5" s="7"/>
      <c r="BJ5" t="s">
        <v>88</v>
      </c>
      <c r="BK5" t="s">
        <v>99</v>
      </c>
      <c r="BL5" s="7"/>
      <c r="BM5" t="s">
        <v>90</v>
      </c>
      <c r="BN5" s="8" t="s">
        <v>91</v>
      </c>
      <c r="BO5" t="s">
        <v>93</v>
      </c>
      <c r="BP5" t="s">
        <v>102</v>
      </c>
      <c r="BQ5" t="s">
        <v>103</v>
      </c>
    </row>
    <row r="6" ht="15" customHeight="1" spans="1:69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s="7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s="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s="8" t="s">
        <v>95</v>
      </c>
      <c r="BF6" s="8" t="s">
        <v>91</v>
      </c>
      <c r="BG6" s="7" t="s">
        <v>109</v>
      </c>
      <c r="BH6" t="s">
        <v>110</v>
      </c>
      <c r="BJ6" s="8" t="s">
        <v>91</v>
      </c>
      <c r="BK6" s="6" t="s">
        <v>81</v>
      </c>
      <c r="BM6" s="8" t="s">
        <v>102</v>
      </c>
      <c r="BN6" t="s">
        <v>94</v>
      </c>
      <c r="BO6" s="8" t="s">
        <v>102</v>
      </c>
      <c r="BP6" t="s">
        <v>94</v>
      </c>
      <c r="BQ6" t="s">
        <v>111</v>
      </c>
    </row>
    <row r="7" ht="15" customHeight="1" spans="1:69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112</v>
      </c>
      <c r="Y7" t="s">
        <v>80</v>
      </c>
      <c r="Z7" t="s">
        <v>96</v>
      </c>
      <c r="AA7" t="s">
        <v>105</v>
      </c>
      <c r="AB7" s="8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s="7" t="s">
        <v>104</v>
      </c>
      <c r="AJ7" t="s">
        <v>106</v>
      </c>
      <c r="AK7" s="8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t="s">
        <v>114</v>
      </c>
      <c r="BH7" s="8" t="s">
        <v>115</v>
      </c>
      <c r="BJ7" t="s">
        <v>102</v>
      </c>
      <c r="BK7" t="s">
        <v>116</v>
      </c>
      <c r="BM7" t="s">
        <v>115</v>
      </c>
      <c r="BN7" t="s">
        <v>107</v>
      </c>
      <c r="BO7" t="s">
        <v>94</v>
      </c>
      <c r="BP7" s="7" t="s">
        <v>117</v>
      </c>
    </row>
    <row r="8" ht="15" customHeight="1" spans="1:68" x14ac:dyDescent="0.25">
      <c r="A8" t="s">
        <v>89</v>
      </c>
      <c r="B8" s="6" t="s">
        <v>77</v>
      </c>
      <c r="C8" t="s">
        <v>89</v>
      </c>
      <c r="D8" t="s">
        <v>89</v>
      </c>
      <c r="E8" t="s">
        <v>76</v>
      </c>
      <c r="F8" t="s">
        <v>88</v>
      </c>
      <c r="G8" s="7"/>
      <c r="H8" t="s">
        <v>93</v>
      </c>
      <c r="I8" t="s">
        <v>88</v>
      </c>
      <c r="J8" t="s">
        <v>118</v>
      </c>
      <c r="K8" t="s">
        <v>77</v>
      </c>
      <c r="L8" s="8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X8" t="s">
        <v>119</v>
      </c>
      <c r="Y8" t="s">
        <v>79</v>
      </c>
      <c r="Z8" t="s">
        <v>77</v>
      </c>
      <c r="AA8" s="6" t="s">
        <v>79</v>
      </c>
      <c r="AB8" t="s">
        <v>95</v>
      </c>
      <c r="AC8" t="s">
        <v>79</v>
      </c>
      <c r="AD8" s="6" t="s">
        <v>105</v>
      </c>
      <c r="AE8" t="s">
        <v>90</v>
      </c>
      <c r="AF8" t="s">
        <v>77</v>
      </c>
      <c r="AG8" t="s">
        <v>89</v>
      </c>
      <c r="AH8" t="s">
        <v>114</v>
      </c>
      <c r="AI8" t="s">
        <v>103</v>
      </c>
      <c r="AJ8" t="s">
        <v>77</v>
      </c>
      <c r="AK8" t="s">
        <v>115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110</v>
      </c>
      <c r="BD8" t="s">
        <v>88</v>
      </c>
      <c r="BE8" s="7" t="s">
        <v>120</v>
      </c>
      <c r="BF8" t="s">
        <v>95</v>
      </c>
      <c r="BH8" s="7" t="s">
        <v>92</v>
      </c>
      <c r="BJ8" s="7" t="s">
        <v>117</v>
      </c>
      <c r="BK8" t="s">
        <v>121</v>
      </c>
      <c r="BM8" t="s">
        <v>114</v>
      </c>
      <c r="BN8" t="s">
        <v>115</v>
      </c>
      <c r="BO8" s="7" t="s">
        <v>104</v>
      </c>
      <c r="BP8" t="s">
        <v>92</v>
      </c>
    </row>
    <row r="9" ht="15" customHeight="1" spans="1:68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s="8" t="s">
        <v>115</v>
      </c>
      <c r="H9" s="8" t="s">
        <v>100</v>
      </c>
      <c r="I9" s="8" t="s">
        <v>115</v>
      </c>
      <c r="J9" s="7" t="s">
        <v>104</v>
      </c>
      <c r="K9" s="8" t="s">
        <v>113</v>
      </c>
      <c r="L9" t="s">
        <v>106</v>
      </c>
      <c r="N9" s="6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s="8" t="s">
        <v>91</v>
      </c>
      <c r="W9" t="s">
        <v>77</v>
      </c>
      <c r="Y9" t="s">
        <v>90</v>
      </c>
      <c r="Z9" t="s">
        <v>93</v>
      </c>
      <c r="AA9" t="s">
        <v>115</v>
      </c>
      <c r="AB9" t="s">
        <v>115</v>
      </c>
      <c r="AC9" t="s">
        <v>90</v>
      </c>
      <c r="AD9" t="s">
        <v>115</v>
      </c>
      <c r="AE9" s="8" t="s">
        <v>91</v>
      </c>
      <c r="AF9" t="s">
        <v>93</v>
      </c>
      <c r="AG9" s="6" t="s">
        <v>88</v>
      </c>
      <c r="AH9" t="s">
        <v>118</v>
      </c>
      <c r="AI9" t="s">
        <v>122</v>
      </c>
      <c r="AJ9" s="6" t="s">
        <v>114</v>
      </c>
      <c r="AK9" t="s">
        <v>106</v>
      </c>
      <c r="AL9" s="8" t="s">
        <v>102</v>
      </c>
      <c r="AM9" t="s">
        <v>89</v>
      </c>
      <c r="AN9" t="s">
        <v>90</v>
      </c>
      <c r="AO9" t="s">
        <v>87</v>
      </c>
      <c r="AP9" s="8" t="s">
        <v>100</v>
      </c>
      <c r="AQ9" t="s">
        <v>88</v>
      </c>
      <c r="AR9" t="s">
        <v>88</v>
      </c>
      <c r="AS9" t="s">
        <v>88</v>
      </c>
      <c r="AT9" t="s">
        <v>79</v>
      </c>
      <c r="AU9" s="8" t="s">
        <v>100</v>
      </c>
      <c r="AV9" t="s">
        <v>110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s="8" t="s">
        <v>100</v>
      </c>
      <c r="BD9" s="8" t="s">
        <v>102</v>
      </c>
      <c r="BF9" t="s">
        <v>94</v>
      </c>
      <c r="BH9" t="s">
        <v>112</v>
      </c>
      <c r="BJ9" t="s">
        <v>92</v>
      </c>
      <c r="BK9" t="s">
        <v>115</v>
      </c>
      <c r="BM9" s="7" t="s">
        <v>109</v>
      </c>
      <c r="BN9" s="7" t="s">
        <v>104</v>
      </c>
      <c r="BO9" t="s">
        <v>120</v>
      </c>
      <c r="BP9" t="s">
        <v>120</v>
      </c>
    </row>
    <row r="10" ht="15" customHeight="1" spans="1:68" x14ac:dyDescent="0.25">
      <c r="A10" s="8" t="s">
        <v>100</v>
      </c>
      <c r="B10" t="s">
        <v>114</v>
      </c>
      <c r="C10" s="8" t="s">
        <v>95</v>
      </c>
      <c r="D10" s="8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114</v>
      </c>
      <c r="N10" t="s">
        <v>121</v>
      </c>
      <c r="O10" s="8" t="s">
        <v>102</v>
      </c>
      <c r="P10" s="8" t="s">
        <v>95</v>
      </c>
      <c r="Q10" t="s">
        <v>89</v>
      </c>
      <c r="R10" t="s">
        <v>77</v>
      </c>
      <c r="S10" t="s">
        <v>77</v>
      </c>
      <c r="T10" t="s">
        <v>81</v>
      </c>
      <c r="U10" s="8" t="s">
        <v>102</v>
      </c>
      <c r="V10" t="s">
        <v>95</v>
      </c>
      <c r="W10" t="s">
        <v>88</v>
      </c>
      <c r="Y10" s="8" t="s">
        <v>87</v>
      </c>
      <c r="Z10" s="8" t="s">
        <v>113</v>
      </c>
      <c r="AA10" t="s">
        <v>106</v>
      </c>
      <c r="AB10" t="s">
        <v>94</v>
      </c>
      <c r="AC10" s="6" t="s">
        <v>88</v>
      </c>
      <c r="AD10" t="s">
        <v>106</v>
      </c>
      <c r="AE10" t="s">
        <v>95</v>
      </c>
      <c r="AF10" t="s">
        <v>102</v>
      </c>
      <c r="AG10" t="s">
        <v>91</v>
      </c>
      <c r="AH10" t="s">
        <v>115</v>
      </c>
      <c r="AJ10" t="s">
        <v>111</v>
      </c>
      <c r="AK10" t="s">
        <v>123</v>
      </c>
      <c r="AL10" t="s">
        <v>95</v>
      </c>
      <c r="AM10" s="8" t="s">
        <v>100</v>
      </c>
      <c r="AN10" s="8" t="s">
        <v>100</v>
      </c>
      <c r="AO10" t="s">
        <v>95</v>
      </c>
      <c r="AP10" t="s">
        <v>91</v>
      </c>
      <c r="AQ10" s="8" t="s">
        <v>95</v>
      </c>
      <c r="AR10" t="s">
        <v>77</v>
      </c>
      <c r="AS10" s="8" t="s">
        <v>100</v>
      </c>
      <c r="AT10" t="s">
        <v>87</v>
      </c>
      <c r="AU10" t="s">
        <v>91</v>
      </c>
      <c r="AV10" s="6" t="s">
        <v>101</v>
      </c>
      <c r="AW10" s="8" t="s">
        <v>102</v>
      </c>
      <c r="AX10" t="s">
        <v>88</v>
      </c>
      <c r="AY10" s="8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116</v>
      </c>
      <c r="BF10" s="7"/>
      <c r="BJ10" t="s">
        <v>104</v>
      </c>
      <c r="BK10" t="s">
        <v>107</v>
      </c>
      <c r="BM10" t="s">
        <v>103</v>
      </c>
      <c r="BN10" t="s">
        <v>112</v>
      </c>
    </row>
    <row r="11" ht="15" customHeight="1" spans="1:66" x14ac:dyDescent="0.25">
      <c r="A11" t="s">
        <v>91</v>
      </c>
      <c r="B11" t="s">
        <v>118</v>
      </c>
      <c r="C11" t="s">
        <v>115</v>
      </c>
      <c r="D11" t="s">
        <v>100</v>
      </c>
      <c r="E11" s="8" t="s">
        <v>102</v>
      </c>
      <c r="F11" t="s">
        <v>94</v>
      </c>
      <c r="H11" t="s">
        <v>124</v>
      </c>
      <c r="I11" s="7" t="s">
        <v>92</v>
      </c>
      <c r="J11" t="s">
        <v>119</v>
      </c>
      <c r="K11" t="s">
        <v>114</v>
      </c>
      <c r="L11" t="s">
        <v>123</v>
      </c>
      <c r="N11" t="s">
        <v>118</v>
      </c>
      <c r="O11" t="s">
        <v>95</v>
      </c>
      <c r="P11" t="s">
        <v>115</v>
      </c>
      <c r="Q11" t="s">
        <v>93</v>
      </c>
      <c r="R11" t="s">
        <v>87</v>
      </c>
      <c r="S11" t="s">
        <v>93</v>
      </c>
      <c r="T11" s="8" t="s">
        <v>95</v>
      </c>
      <c r="U11" t="s">
        <v>95</v>
      </c>
      <c r="V11" t="s">
        <v>124</v>
      </c>
      <c r="W11" t="s">
        <v>93</v>
      </c>
      <c r="Y11" t="s">
        <v>100</v>
      </c>
      <c r="Z11" t="s">
        <v>107</v>
      </c>
      <c r="AA11" t="s">
        <v>114</v>
      </c>
      <c r="AB11" s="7" t="s">
        <v>104</v>
      </c>
      <c r="AC11" t="s">
        <v>102</v>
      </c>
      <c r="AD11" t="s">
        <v>94</v>
      </c>
      <c r="AE11" t="s">
        <v>124</v>
      </c>
      <c r="AF11" t="s">
        <v>94</v>
      </c>
      <c r="AG11" t="s">
        <v>102</v>
      </c>
      <c r="AH11" t="s">
        <v>100</v>
      </c>
      <c r="AJ11" t="s">
        <v>125</v>
      </c>
      <c r="AK11" t="s">
        <v>88</v>
      </c>
      <c r="AL11" t="s">
        <v>94</v>
      </c>
      <c r="AM11" t="s">
        <v>91</v>
      </c>
      <c r="AN11" t="s">
        <v>91</v>
      </c>
      <c r="AO11" s="7" t="s">
        <v>92</v>
      </c>
      <c r="AP11" t="s">
        <v>115</v>
      </c>
      <c r="AQ11" t="s">
        <v>106</v>
      </c>
      <c r="AR11" s="8" t="s">
        <v>100</v>
      </c>
      <c r="AS11" t="s">
        <v>102</v>
      </c>
      <c r="AT11" t="s">
        <v>90</v>
      </c>
      <c r="AU11" s="6" t="s">
        <v>94</v>
      </c>
      <c r="AV11" t="s">
        <v>94</v>
      </c>
      <c r="AW11" t="s">
        <v>100</v>
      </c>
      <c r="AX11" t="s">
        <v>93</v>
      </c>
      <c r="AY11" t="s">
        <v>91</v>
      </c>
      <c r="AZ11" s="8" t="s">
        <v>100</v>
      </c>
      <c r="BA11" s="8" t="s">
        <v>91</v>
      </c>
      <c r="BB11" t="s">
        <v>87</v>
      </c>
      <c r="BC11" t="s">
        <v>91</v>
      </c>
      <c r="BD11" t="s">
        <v>118</v>
      </c>
      <c r="BK11" s="7" t="s">
        <v>104</v>
      </c>
      <c r="BM11" t="s">
        <v>120</v>
      </c>
      <c r="BN11" t="s">
        <v>120</v>
      </c>
    </row>
    <row r="12" ht="15" customHeight="1" spans="1:66" x14ac:dyDescent="0.25">
      <c r="A12" t="s">
        <v>95</v>
      </c>
      <c r="B12" s="7" t="s">
        <v>104</v>
      </c>
      <c r="C12" s="7" t="s">
        <v>117</v>
      </c>
      <c r="D12" t="s">
        <v>124</v>
      </c>
      <c r="E12" t="s">
        <v>95</v>
      </c>
      <c r="F12" s="7" t="s">
        <v>120</v>
      </c>
      <c r="H12" s="7" t="s">
        <v>92</v>
      </c>
      <c r="I12" t="s">
        <v>112</v>
      </c>
      <c r="K12" t="s">
        <v>123</v>
      </c>
      <c r="L12" s="7" t="s">
        <v>112</v>
      </c>
      <c r="N12" t="s">
        <v>114</v>
      </c>
      <c r="O12" t="s">
        <v>115</v>
      </c>
      <c r="P12" t="s">
        <v>106</v>
      </c>
      <c r="Q12" s="8" t="s">
        <v>107</v>
      </c>
      <c r="R12" t="s">
        <v>121</v>
      </c>
      <c r="S12" s="8" t="s">
        <v>107</v>
      </c>
      <c r="T12" t="s">
        <v>115</v>
      </c>
      <c r="U12" t="s">
        <v>115</v>
      </c>
      <c r="V12" s="7" t="s">
        <v>106</v>
      </c>
      <c r="W12" s="8" t="s">
        <v>100</v>
      </c>
      <c r="Y12" t="s">
        <v>95</v>
      </c>
      <c r="Z12" t="s">
        <v>115</v>
      </c>
      <c r="AA12" s="7" t="s">
        <v>91</v>
      </c>
      <c r="AB12" t="s">
        <v>109</v>
      </c>
      <c r="AC12" s="7" t="s">
        <v>117</v>
      </c>
      <c r="AD12" t="s">
        <v>88</v>
      </c>
      <c r="AE12" s="7" t="s">
        <v>111</v>
      </c>
      <c r="AF12" s="7" t="s">
        <v>109</v>
      </c>
      <c r="AG12" s="7" t="s">
        <v>109</v>
      </c>
      <c r="AH12" s="7" t="s">
        <v>104</v>
      </c>
      <c r="AJ12" t="s">
        <v>92</v>
      </c>
      <c r="AK12" t="s">
        <v>95</v>
      </c>
      <c r="AL12" s="7" t="s">
        <v>92</v>
      </c>
      <c r="AM12" t="s">
        <v>102</v>
      </c>
      <c r="AN12" t="s">
        <v>102</v>
      </c>
      <c r="AO12" t="s">
        <v>120</v>
      </c>
      <c r="AP12" t="s">
        <v>107</v>
      </c>
      <c r="AQ12" t="s">
        <v>114</v>
      </c>
      <c r="AR12" t="s">
        <v>102</v>
      </c>
      <c r="AS12" s="7" t="s">
        <v>117</v>
      </c>
      <c r="AT12" s="8" t="s">
        <v>100</v>
      </c>
      <c r="AU12" t="s">
        <v>126</v>
      </c>
      <c r="AV12" s="7" t="s">
        <v>109</v>
      </c>
      <c r="AW12" s="7" t="s">
        <v>92</v>
      </c>
      <c r="AX12" t="s">
        <v>127</v>
      </c>
      <c r="AY12" t="s">
        <v>102</v>
      </c>
      <c r="AZ12" t="s">
        <v>91</v>
      </c>
      <c r="BA12" t="s">
        <v>102</v>
      </c>
      <c r="BB12" s="8" t="s">
        <v>100</v>
      </c>
      <c r="BC12" s="7" t="s">
        <v>104</v>
      </c>
      <c r="BD12" s="7" t="s">
        <v>103</v>
      </c>
      <c r="BK12" t="s">
        <v>122</v>
      </c>
      <c r="BM12" t="s">
        <v>122</v>
      </c>
      <c r="BN12" t="s">
        <v>114</v>
      </c>
    </row>
    <row r="13" ht="15" customHeight="1" spans="1:66" x14ac:dyDescent="0.25">
      <c r="A13" s="7" t="s">
        <v>92</v>
      </c>
      <c r="B13" t="s">
        <v>103</v>
      </c>
      <c r="C13" t="s">
        <v>109</v>
      </c>
      <c r="D13" t="s">
        <v>102</v>
      </c>
      <c r="E13" t="s">
        <v>106</v>
      </c>
      <c r="F13" t="s">
        <v>122</v>
      </c>
      <c r="H13" t="s">
        <v>111</v>
      </c>
      <c r="I13" t="s">
        <v>120</v>
      </c>
      <c r="K13" s="7" t="s">
        <v>112</v>
      </c>
      <c r="L13" t="s">
        <v>120</v>
      </c>
      <c r="N13" s="7" t="s">
        <v>109</v>
      </c>
      <c r="O13" t="s">
        <v>94</v>
      </c>
      <c r="P13" t="s">
        <v>114</v>
      </c>
      <c r="Q13" t="s">
        <v>115</v>
      </c>
      <c r="R13" t="s">
        <v>118</v>
      </c>
      <c r="S13" t="s">
        <v>95</v>
      </c>
      <c r="T13" t="s">
        <v>94</v>
      </c>
      <c r="U13" t="s">
        <v>94</v>
      </c>
      <c r="V13" t="s">
        <v>109</v>
      </c>
      <c r="W13" t="s">
        <v>115</v>
      </c>
      <c r="Z13" t="s">
        <v>106</v>
      </c>
      <c r="AA13" t="s">
        <v>104</v>
      </c>
      <c r="AB13" t="s">
        <v>112</v>
      </c>
      <c r="AC13" t="s">
        <v>109</v>
      </c>
      <c r="AD13" s="7" t="s">
        <v>109</v>
      </c>
      <c r="AE13" t="s">
        <v>120</v>
      </c>
      <c r="AF13" t="s">
        <v>122</v>
      </c>
      <c r="AG13" t="s">
        <v>103</v>
      </c>
      <c r="AH13" t="s">
        <v>111</v>
      </c>
      <c r="AK13" s="7" t="s">
        <v>109</v>
      </c>
      <c r="AL13" t="s">
        <v>125</v>
      </c>
      <c r="AM13" t="s">
        <v>106</v>
      </c>
      <c r="AN13" t="s">
        <v>115</v>
      </c>
      <c r="AO13" t="s">
        <v>122</v>
      </c>
      <c r="AP13" t="s">
        <v>120</v>
      </c>
      <c r="AQ13" s="7" t="s">
        <v>117</v>
      </c>
      <c r="AR13" t="s">
        <v>106</v>
      </c>
      <c r="AS13" t="s">
        <v>125</v>
      </c>
      <c r="AT13" t="s">
        <v>116</v>
      </c>
      <c r="AU13" t="s">
        <v>120</v>
      </c>
      <c r="AV13" t="s">
        <v>112</v>
      </c>
      <c r="AW13" t="s">
        <v>122</v>
      </c>
      <c r="AX13" t="s">
        <v>118</v>
      </c>
      <c r="AY13" s="7" t="s">
        <v>104</v>
      </c>
      <c r="AZ13" t="s">
        <v>115</v>
      </c>
      <c r="BA13" t="s">
        <v>116</v>
      </c>
      <c r="BB13" t="s">
        <v>102</v>
      </c>
      <c r="BC13" t="s">
        <v>120</v>
      </c>
      <c r="BD13" t="s">
        <v>120</v>
      </c>
      <c r="BK13" t="s">
        <v>103</v>
      </c>
    </row>
    <row r="14" ht="15" customHeight="1" spans="1:63" x14ac:dyDescent="0.25">
      <c r="A14" t="s">
        <v>112</v>
      </c>
      <c r="B14" t="s">
        <v>119</v>
      </c>
      <c r="C14" t="s">
        <v>119</v>
      </c>
      <c r="D14" s="7" t="s">
        <v>117</v>
      </c>
      <c r="E14" t="s">
        <v>114</v>
      </c>
      <c r="H14" t="s">
        <v>122</v>
      </c>
      <c r="I14" t="s">
        <v>122</v>
      </c>
      <c r="K14" t="s">
        <v>119</v>
      </c>
      <c r="L14" t="s">
        <v>119</v>
      </c>
      <c r="N14" t="s">
        <v>111</v>
      </c>
      <c r="O14" t="s">
        <v>90</v>
      </c>
      <c r="P14" s="7" t="s">
        <v>104</v>
      </c>
      <c r="Q14" t="s">
        <v>94</v>
      </c>
      <c r="R14" t="s">
        <v>114</v>
      </c>
      <c r="S14" t="s">
        <v>115</v>
      </c>
      <c r="T14" s="7" t="s">
        <v>104</v>
      </c>
      <c r="U14" t="s">
        <v>93</v>
      </c>
      <c r="V14" t="s">
        <v>111</v>
      </c>
      <c r="W14" t="s">
        <v>106</v>
      </c>
      <c r="Z14" t="s">
        <v>123</v>
      </c>
      <c r="AA14" t="s">
        <v>111</v>
      </c>
      <c r="AB14" t="s">
        <v>118</v>
      </c>
      <c r="AC14" t="s">
        <v>103</v>
      </c>
      <c r="AD14" t="s">
        <v>112</v>
      </c>
      <c r="AF14" t="s">
        <v>111</v>
      </c>
      <c r="AG14" t="s">
        <v>125</v>
      </c>
      <c r="AH14" t="s">
        <v>125</v>
      </c>
      <c r="AK14" t="s">
        <v>103</v>
      </c>
      <c r="AM14" s="7" t="s">
        <v>92</v>
      </c>
      <c r="AN14" s="7" t="s">
        <v>104</v>
      </c>
      <c r="AO14" t="s">
        <v>119</v>
      </c>
      <c r="AP14" t="s">
        <v>122</v>
      </c>
      <c r="AQ14" t="s">
        <v>119</v>
      </c>
      <c r="AR14" t="s">
        <v>94</v>
      </c>
      <c r="AT14" t="s">
        <v>115</v>
      </c>
      <c r="AV14" t="s">
        <v>119</v>
      </c>
      <c r="AW14" t="s">
        <v>91</v>
      </c>
      <c r="AX14" s="7" t="s">
        <v>92</v>
      </c>
      <c r="AY14" t="s">
        <v>112</v>
      </c>
      <c r="AZ14" s="7" t="s">
        <v>104</v>
      </c>
      <c r="BA14" s="7" t="s">
        <v>104</v>
      </c>
      <c r="BB14" t="s">
        <v>121</v>
      </c>
    </row>
    <row r="15" ht="15" customHeight="1" spans="1:54" x14ac:dyDescent="0.25">
      <c r="A15" t="s">
        <v>119</v>
      </c>
      <c r="D15" t="s">
        <v>111</v>
      </c>
      <c r="E15" s="7" t="s">
        <v>92</v>
      </c>
      <c r="N15" t="s">
        <v>125</v>
      </c>
      <c r="O15" s="7" t="s">
        <v>109</v>
      </c>
      <c r="P15" t="s">
        <v>109</v>
      </c>
      <c r="Q15" t="s">
        <v>114</v>
      </c>
      <c r="R15" s="7" t="s">
        <v>128</v>
      </c>
      <c r="S15" t="s">
        <v>106</v>
      </c>
      <c r="T15" t="s">
        <v>111</v>
      </c>
      <c r="U15" t="s">
        <v>100</v>
      </c>
      <c r="V15" t="s">
        <v>119</v>
      </c>
      <c r="W15" t="s">
        <v>114</v>
      </c>
      <c r="Z15" s="7" t="s">
        <v>109</v>
      </c>
      <c r="AA15" t="s">
        <v>120</v>
      </c>
      <c r="AC15" t="s">
        <v>125</v>
      </c>
      <c r="AD15" t="s">
        <v>122</v>
      </c>
      <c r="AG15" t="s">
        <v>117</v>
      </c>
      <c r="AK15" t="s">
        <v>112</v>
      </c>
      <c r="AM15" t="s">
        <v>109</v>
      </c>
      <c r="AN15" t="s">
        <v>129</v>
      </c>
      <c r="AO15" t="s">
        <v>127</v>
      </c>
      <c r="AP15" t="s">
        <v>104</v>
      </c>
      <c r="AR15" s="7" t="s">
        <v>104</v>
      </c>
      <c r="AT15" t="s">
        <v>107</v>
      </c>
      <c r="AV15" t="s">
        <v>103</v>
      </c>
      <c r="AW15" t="s">
        <v>106</v>
      </c>
      <c r="AX15" t="s">
        <v>111</v>
      </c>
      <c r="AY15" t="s">
        <v>129</v>
      </c>
      <c r="AZ15" t="s">
        <v>112</v>
      </c>
      <c r="BA15" t="s">
        <v>103</v>
      </c>
      <c r="BB15" s="7" t="s">
        <v>104</v>
      </c>
    </row>
    <row r="16" ht="15" customHeight="1" spans="1:54" x14ac:dyDescent="0.25">
      <c r="D16" t="s">
        <v>122</v>
      </c>
      <c r="E16" t="s">
        <v>103</v>
      </c>
      <c r="O16" t="s">
        <v>111</v>
      </c>
      <c r="P16" t="s">
        <v>111</v>
      </c>
      <c r="Q16" s="7" t="s">
        <v>92</v>
      </c>
      <c r="R16" t="s">
        <v>109</v>
      </c>
      <c r="S16" s="7" t="s">
        <v>109</v>
      </c>
      <c r="T16" t="s">
        <v>125</v>
      </c>
      <c r="U16" s="7" t="s">
        <v>104</v>
      </c>
      <c r="W16" s="7" t="s">
        <v>104</v>
      </c>
      <c r="Z16" t="s">
        <v>111</v>
      </c>
      <c r="AA16" t="s">
        <v>122</v>
      </c>
      <c r="AC16" t="s">
        <v>92</v>
      </c>
      <c r="AK16" t="s">
        <v>122</v>
      </c>
      <c r="AM16" t="s">
        <v>125</v>
      </c>
      <c r="AN16" t="s">
        <v>126</v>
      </c>
      <c r="AR16" t="s">
        <v>112</v>
      </c>
      <c r="AT16" s="7" t="s">
        <v>104</v>
      </c>
      <c r="AW16" t="s">
        <v>126</v>
      </c>
      <c r="AX16" t="s">
        <v>120</v>
      </c>
      <c r="AY16" t="s">
        <v>122</v>
      </c>
      <c r="AZ16" t="s">
        <v>129</v>
      </c>
      <c r="BA16" t="s">
        <v>125</v>
      </c>
      <c r="BB16" t="s">
        <v>103</v>
      </c>
    </row>
    <row r="17" ht="15" customHeight="1" spans="4:54" x14ac:dyDescent="0.25">
      <c r="E17" t="s">
        <v>119</v>
      </c>
      <c r="O17" t="s">
        <v>122</v>
      </c>
      <c r="P17" t="s">
        <v>122</v>
      </c>
      <c r="Q17" t="s">
        <v>109</v>
      </c>
      <c r="R17" t="s">
        <v>103</v>
      </c>
      <c r="S17" t="s">
        <v>103</v>
      </c>
      <c r="U17" t="s">
        <v>103</v>
      </c>
      <c r="W17" t="s">
        <v>109</v>
      </c>
      <c r="Z17" t="s">
        <v>122</v>
      </c>
      <c r="AK17" t="s">
        <v>125</v>
      </c>
      <c r="AM17" t="s">
        <v>122</v>
      </c>
      <c r="AR17" t="s">
        <v>129</v>
      </c>
      <c r="AT17" t="s">
        <v>111</v>
      </c>
      <c r="AW17" t="s">
        <v>94</v>
      </c>
      <c r="AX17" t="s">
        <v>122</v>
      </c>
      <c r="AZ17" t="s">
        <v>122</v>
      </c>
      <c r="BA17" t="s">
        <v>127</v>
      </c>
      <c r="BB17" t="s">
        <v>120</v>
      </c>
    </row>
    <row r="18" ht="15" customHeight="1" spans="5:54" x14ac:dyDescent="0.25">
      <c r="P18" t="s">
        <v>120</v>
      </c>
      <c r="Q18" t="s">
        <v>111</v>
      </c>
      <c r="R18" t="s">
        <v>125</v>
      </c>
      <c r="S18" t="s">
        <v>112</v>
      </c>
      <c r="U18" t="s">
        <v>112</v>
      </c>
      <c r="W18" t="s">
        <v>111</v>
      </c>
      <c r="AR18" t="s">
        <v>91</v>
      </c>
      <c r="AT18" t="s">
        <v>120</v>
      </c>
      <c r="BB18" t="s">
        <v>127</v>
      </c>
    </row>
    <row r="19" ht="15" customHeight="1" spans="16:54" x14ac:dyDescent="0.25">
      <c r="Q19" t="s">
        <v>122</v>
      </c>
      <c r="R19" t="s">
        <v>111</v>
      </c>
      <c r="S19" t="s">
        <v>120</v>
      </c>
      <c r="U19" t="s">
        <v>122</v>
      </c>
      <c r="AR19" t="s">
        <v>126</v>
      </c>
      <c r="AT19" t="s">
        <v>122</v>
      </c>
    </row>
    <row r="20" ht="15" customHeight="1" spans="17:46" x14ac:dyDescent="0.25">
      <c r="S20" t="s">
        <v>94</v>
      </c>
    </row>
    <row r="21" ht="15" customHeight="1" spans="19:19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D42"/>
  <sheetViews>
    <sheetView workbookViewId="0" zoomScale="100" zoomScaleNormal="100">
      <selection activeCell="H21" sqref="H21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ht="15" customHeight="1" spans="1:56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127</v>
      </c>
      <c r="AH3" t="s">
        <v>116</v>
      </c>
      <c r="AI3" t="s">
        <v>95</v>
      </c>
      <c r="AJ3" t="s">
        <v>121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123</v>
      </c>
      <c r="AQ3" t="s">
        <v>124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129</v>
      </c>
      <c r="AZ3" t="s">
        <v>120</v>
      </c>
      <c r="BA3" t="s">
        <v>125</v>
      </c>
      <c r="BB3" t="s">
        <v>119</v>
      </c>
      <c r="BC3" t="s">
        <v>122</v>
      </c>
      <c r="BD3" t="s">
        <v>126</v>
      </c>
    </row>
    <row r="4" ht="15" customHeight="1" spans="1:56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56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41</v>
      </c>
      <c r="AT4" t="s">
        <v>58</v>
      </c>
      <c r="AU4" t="s">
        <v>17</v>
      </c>
      <c r="AV4" t="s">
        <v>21</v>
      </c>
      <c r="AW4" t="s">
        <v>11</v>
      </c>
      <c r="AX4" t="s">
        <v>47</v>
      </c>
      <c r="AY4" t="s">
        <v>47</v>
      </c>
      <c r="AZ4" t="s">
        <v>68</v>
      </c>
      <c r="BA4" t="s">
        <v>56</v>
      </c>
      <c r="BB4" t="s">
        <v>44</v>
      </c>
      <c r="BC4" t="s">
        <v>11</v>
      </c>
      <c r="BD4" t="s">
        <v>47</v>
      </c>
    </row>
    <row r="5" ht="15" customHeight="1" spans="1:56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44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18</v>
      </c>
      <c r="AV5" t="s">
        <v>36</v>
      </c>
      <c r="AW5" t="s">
        <v>72</v>
      </c>
      <c r="AX5" t="s">
        <v>54</v>
      </c>
      <c r="AY5" t="s">
        <v>54</v>
      </c>
      <c r="AZ5" t="s">
        <v>50</v>
      </c>
      <c r="BA5" t="s">
        <v>41</v>
      </c>
      <c r="BB5" t="s">
        <v>4</v>
      </c>
      <c r="BC5" t="s">
        <v>54</v>
      </c>
      <c r="BD5" t="s">
        <v>50</v>
      </c>
    </row>
    <row r="6" ht="15" customHeight="1" spans="1:56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57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69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27</v>
      </c>
      <c r="BC6" t="s">
        <v>7</v>
      </c>
      <c r="BD6" t="s">
        <v>52</v>
      </c>
    </row>
    <row r="7" ht="15" customHeight="1" spans="1:56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35</v>
      </c>
      <c r="AF7" t="s">
        <v>20</v>
      </c>
      <c r="AG7" t="s">
        <v>53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62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42</v>
      </c>
      <c r="BD7" t="s">
        <v>43</v>
      </c>
    </row>
    <row r="8" ht="15" customHeight="1" spans="1:56" x14ac:dyDescent="0.25">
      <c r="A8" t="s">
        <v>21</v>
      </c>
      <c r="D8" t="s">
        <v>130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130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47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5</v>
      </c>
      <c r="BC8" t="s">
        <v>44</v>
      </c>
    </row>
    <row r="9" ht="15" customHeight="1" spans="1:55" x14ac:dyDescent="0.25">
      <c r="A9" t="s">
        <v>45</v>
      </c>
      <c r="D9" t="s">
        <v>46</v>
      </c>
      <c r="F9" t="s">
        <v>54</v>
      </c>
      <c r="G9" t="s">
        <v>4</v>
      </c>
      <c r="H9" t="s">
        <v>130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36</v>
      </c>
      <c r="AS9" t="s">
        <v>72</v>
      </c>
      <c r="AT9" t="s">
        <v>54</v>
      </c>
      <c r="AU9" t="s">
        <v>68</v>
      </c>
      <c r="AV9" t="s">
        <v>38</v>
      </c>
      <c r="AW9" t="s">
        <v>29</v>
      </c>
      <c r="AX9" t="s">
        <v>4</v>
      </c>
      <c r="AZ9" t="s">
        <v>70</v>
      </c>
      <c r="BA9" t="s">
        <v>21</v>
      </c>
      <c r="BB9" t="s">
        <v>6</v>
      </c>
      <c r="BC9" t="s">
        <v>38</v>
      </c>
    </row>
    <row r="10" ht="15" customHeight="1" spans="1:55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59</v>
      </c>
      <c r="BA10" t="s">
        <v>40</v>
      </c>
      <c r="BB10" t="s">
        <v>13</v>
      </c>
      <c r="BC10" t="s">
        <v>35</v>
      </c>
    </row>
    <row r="11" ht="15" customHeight="1" spans="1:55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66</v>
      </c>
      <c r="AW11" t="s">
        <v>37</v>
      </c>
      <c r="AX11" t="s">
        <v>12</v>
      </c>
      <c r="AZ11" t="s">
        <v>60</v>
      </c>
      <c r="BA11" t="s">
        <v>37</v>
      </c>
      <c r="BB11" t="s">
        <v>8</v>
      </c>
      <c r="BC11" t="s">
        <v>53</v>
      </c>
    </row>
    <row r="12" ht="15" customHeight="1" spans="1:55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130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44</v>
      </c>
      <c r="BA12" t="s">
        <v>39</v>
      </c>
      <c r="BB12" t="s">
        <v>46</v>
      </c>
      <c r="BC12" t="s">
        <v>18</v>
      </c>
    </row>
    <row r="13" ht="15" customHeight="1" spans="1:55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63</v>
      </c>
      <c r="AT13" t="s">
        <v>38</v>
      </c>
      <c r="AU13" t="s">
        <v>29</v>
      </c>
      <c r="AV13" t="s">
        <v>24</v>
      </c>
      <c r="AW13" t="s">
        <v>26</v>
      </c>
      <c r="AX13" t="s">
        <v>63</v>
      </c>
      <c r="AZ13" t="s">
        <v>49</v>
      </c>
      <c r="BA13" t="s">
        <v>36</v>
      </c>
      <c r="BB13" t="s">
        <v>14</v>
      </c>
      <c r="BC13" t="s">
        <v>29</v>
      </c>
    </row>
    <row r="14" ht="15" customHeight="1" spans="1:55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</row>
    <row r="15" ht="15" customHeight="1" spans="1:55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23</v>
      </c>
      <c r="BB15" t="s">
        <v>51</v>
      </c>
      <c r="BC15" t="s">
        <v>20</v>
      </c>
    </row>
    <row r="16" ht="15" customHeight="1" spans="1:55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31</v>
      </c>
      <c r="AV16" t="s">
        <v>68</v>
      </c>
      <c r="AW16" t="s">
        <v>34</v>
      </c>
      <c r="AX16" t="s">
        <v>31</v>
      </c>
      <c r="AZ16" t="s">
        <v>58</v>
      </c>
      <c r="BC16" t="s">
        <v>49</v>
      </c>
    </row>
    <row r="17" ht="15" customHeight="1" spans="1:55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44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</row>
    <row r="18" ht="15" customHeight="1" spans="1:55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22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66</v>
      </c>
    </row>
    <row r="19" ht="15" customHeight="1" spans="1:55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59</v>
      </c>
      <c r="AI19" t="s">
        <v>25</v>
      </c>
      <c r="AK19" t="s">
        <v>66</v>
      </c>
      <c r="AM19" t="s">
        <v>15</v>
      </c>
      <c r="AN19" t="s">
        <v>30</v>
      </c>
      <c r="AO19" t="s">
        <v>61</v>
      </c>
      <c r="AS19" t="s">
        <v>20</v>
      </c>
      <c r="AT19" t="s">
        <v>66</v>
      </c>
      <c r="AU19" t="s">
        <v>35</v>
      </c>
      <c r="AV19" t="s">
        <v>59</v>
      </c>
      <c r="AW19" t="s">
        <v>30</v>
      </c>
      <c r="AX19" t="s">
        <v>27</v>
      </c>
      <c r="AZ19" t="s">
        <v>15</v>
      </c>
      <c r="BC19" t="s">
        <v>55</v>
      </c>
    </row>
    <row r="20" ht="15" customHeight="1" spans="1:55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</row>
    <row r="21" ht="15" customHeight="1" spans="1:55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33</v>
      </c>
    </row>
    <row r="22" ht="15" customHeight="1" spans="1:55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65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</row>
    <row r="23" ht="15" customHeight="1" spans="1:55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61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</row>
    <row r="24" ht="15" customHeight="1" spans="7:55" x14ac:dyDescent="0.25">
      <c r="G24" t="s">
        <v>9</v>
      </c>
      <c r="L24" t="s">
        <v>38</v>
      </c>
      <c r="AD24" t="s">
        <v>56</v>
      </c>
      <c r="AE24" t="s">
        <v>68</v>
      </c>
      <c r="AK24" t="s">
        <v>33</v>
      </c>
      <c r="AT24" t="s">
        <v>24</v>
      </c>
      <c r="BC24" t="s">
        <v>9</v>
      </c>
    </row>
    <row r="25" ht="15" customHeight="1" spans="7:55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24</v>
      </c>
    </row>
    <row r="26" ht="15" customHeight="1" spans="7:55" x14ac:dyDescent="0.25">
      <c r="G26" t="s">
        <v>8</v>
      </c>
      <c r="L26" t="s">
        <v>22</v>
      </c>
      <c r="AD26" t="s">
        <v>65</v>
      </c>
      <c r="AE26" t="s">
        <v>7</v>
      </c>
      <c r="AK26" t="s">
        <v>23</v>
      </c>
      <c r="AT26" t="s">
        <v>27</v>
      </c>
      <c r="BC26" t="s">
        <v>40</v>
      </c>
    </row>
    <row r="27" ht="15" customHeight="1" spans="7:55" x14ac:dyDescent="0.25">
      <c r="G27" t="s">
        <v>64</v>
      </c>
      <c r="L27" t="s">
        <v>20</v>
      </c>
      <c r="AD27" t="s">
        <v>61</v>
      </c>
      <c r="AE27" t="s">
        <v>43</v>
      </c>
      <c r="AK27" t="s">
        <v>30</v>
      </c>
      <c r="AT27" t="s">
        <v>23</v>
      </c>
      <c r="BC27" t="s">
        <v>12</v>
      </c>
    </row>
    <row r="28" ht="15" customHeight="1" spans="46:55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D14"/>
  <sheetViews>
    <sheetView workbookViewId="0" zoomScale="96" zoomScaleNormal="96">
      <selection activeCell="B28" sqref="B28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ht="15" customHeight="1" spans="1:56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127</v>
      </c>
      <c r="AH3" t="s">
        <v>116</v>
      </c>
      <c r="AI3" t="s">
        <v>95</v>
      </c>
      <c r="AJ3" t="s">
        <v>121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123</v>
      </c>
      <c r="AQ3" t="s">
        <v>124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129</v>
      </c>
      <c r="AZ3" t="s">
        <v>120</v>
      </c>
      <c r="BA3" t="s">
        <v>125</v>
      </c>
      <c r="BB3" t="s">
        <v>119</v>
      </c>
      <c r="BC3" t="s">
        <v>122</v>
      </c>
      <c r="BD3" t="s">
        <v>126</v>
      </c>
    </row>
    <row r="4" ht="15" customHeight="1" spans="1:56" x14ac:dyDescent="0.25">
      <c r="A4" t="s">
        <v>131</v>
      </c>
      <c r="B4" t="s">
        <v>132</v>
      </c>
      <c r="C4" t="s">
        <v>133</v>
      </c>
      <c r="D4" t="s">
        <v>134</v>
      </c>
      <c r="E4" t="s">
        <v>135</v>
      </c>
      <c r="F4" t="s">
        <v>136</v>
      </c>
      <c r="G4" t="s">
        <v>137</v>
      </c>
      <c r="H4" t="s">
        <v>138</v>
      </c>
      <c r="I4" t="s">
        <v>139</v>
      </c>
      <c r="J4" t="s">
        <v>140</v>
      </c>
      <c r="K4" t="s">
        <v>141</v>
      </c>
      <c r="L4" t="s">
        <v>142</v>
      </c>
      <c r="M4" t="s">
        <v>143</v>
      </c>
      <c r="N4" t="s">
        <v>144</v>
      </c>
      <c r="O4" t="s">
        <v>145</v>
      </c>
      <c r="P4" t="s">
        <v>146</v>
      </c>
      <c r="Q4" t="s">
        <v>147</v>
      </c>
      <c r="R4" t="s">
        <v>148</v>
      </c>
      <c r="S4" t="s">
        <v>149</v>
      </c>
      <c r="T4" t="s">
        <v>150</v>
      </c>
      <c r="U4" t="s">
        <v>151</v>
      </c>
      <c r="V4" t="s">
        <v>152</v>
      </c>
      <c r="W4" t="s">
        <v>153</v>
      </c>
      <c r="X4" t="s">
        <v>154</v>
      </c>
      <c r="Y4" t="s">
        <v>155</v>
      </c>
      <c r="Z4" t="s">
        <v>156</v>
      </c>
      <c r="AA4" t="s">
        <v>157</v>
      </c>
      <c r="AB4" t="s">
        <v>158</v>
      </c>
      <c r="AC4" t="s">
        <v>159</v>
      </c>
      <c r="AD4" t="s">
        <v>160</v>
      </c>
      <c r="AE4" t="s">
        <v>161</v>
      </c>
      <c r="AF4" t="s">
        <v>162</v>
      </c>
      <c r="AG4" t="s">
        <v>163</v>
      </c>
      <c r="AH4" t="s">
        <v>164</v>
      </c>
      <c r="AI4" t="s">
        <v>165</v>
      </c>
      <c r="AJ4" t="s">
        <v>166</v>
      </c>
      <c r="AK4" t="s">
        <v>167</v>
      </c>
      <c r="AL4" t="s">
        <v>168</v>
      </c>
      <c r="AM4" t="s">
        <v>169</v>
      </c>
      <c r="AN4" t="s">
        <v>170</v>
      </c>
      <c r="AO4" t="s">
        <v>171</v>
      </c>
      <c r="AP4" t="s">
        <v>159</v>
      </c>
      <c r="AQ4" t="s">
        <v>172</v>
      </c>
      <c r="AR4" t="s">
        <v>173</v>
      </c>
      <c r="AS4" t="s">
        <v>174</v>
      </c>
      <c r="AT4" t="s">
        <v>175</v>
      </c>
      <c r="AU4" t="s">
        <v>176</v>
      </c>
      <c r="AV4" t="s">
        <v>177</v>
      </c>
      <c r="AW4" t="s">
        <v>178</v>
      </c>
      <c r="AX4" t="s">
        <v>179</v>
      </c>
      <c r="AY4" t="s">
        <v>180</v>
      </c>
      <c r="AZ4" t="s">
        <v>181</v>
      </c>
      <c r="BA4" t="s">
        <v>182</v>
      </c>
      <c r="BB4" t="s">
        <v>183</v>
      </c>
      <c r="BC4" t="s">
        <v>184</v>
      </c>
      <c r="BD4" t="s">
        <v>185</v>
      </c>
    </row>
    <row r="5" ht="15" customHeight="1" spans="1:56" x14ac:dyDescent="0.25">
      <c r="A5" t="s">
        <v>186</v>
      </c>
      <c r="D5" t="s">
        <v>187</v>
      </c>
      <c r="F5" t="s">
        <v>188</v>
      </c>
      <c r="G5" t="s">
        <v>189</v>
      </c>
      <c r="H5" t="s">
        <v>190</v>
      </c>
      <c r="K5" t="s">
        <v>191</v>
      </c>
      <c r="L5" t="s">
        <v>192</v>
      </c>
      <c r="N5" t="s">
        <v>193</v>
      </c>
      <c r="P5" t="s">
        <v>194</v>
      </c>
      <c r="R5" t="s">
        <v>195</v>
      </c>
      <c r="T5" t="s">
        <v>196</v>
      </c>
      <c r="U5" t="s">
        <v>197</v>
      </c>
      <c r="V5" t="s">
        <v>198</v>
      </c>
      <c r="W5" t="s">
        <v>199</v>
      </c>
      <c r="Y5" t="s">
        <v>200</v>
      </c>
      <c r="Z5" t="s">
        <v>201</v>
      </c>
      <c r="AB5" t="s">
        <v>202</v>
      </c>
      <c r="AD5" t="s">
        <v>203</v>
      </c>
      <c r="AE5" t="s">
        <v>204</v>
      </c>
      <c r="AF5" t="s">
        <v>205</v>
      </c>
      <c r="AI5" t="s">
        <v>206</v>
      </c>
      <c r="AK5" t="s">
        <v>207</v>
      </c>
      <c r="AL5" t="s">
        <v>208</v>
      </c>
      <c r="AM5" t="s">
        <v>209</v>
      </c>
      <c r="AN5" t="s">
        <v>210</v>
      </c>
      <c r="AO5" t="s">
        <v>211</v>
      </c>
      <c r="AR5" t="s">
        <v>212</v>
      </c>
      <c r="AS5" t="s">
        <v>213</v>
      </c>
      <c r="AT5" t="s">
        <v>214</v>
      </c>
      <c r="AU5" t="s">
        <v>215</v>
      </c>
      <c r="AV5" t="s">
        <v>216</v>
      </c>
      <c r="AW5" t="s">
        <v>217</v>
      </c>
      <c r="AX5" t="s">
        <v>218</v>
      </c>
      <c r="AZ5" t="s">
        <v>219</v>
      </c>
      <c r="BA5" t="s">
        <v>220</v>
      </c>
      <c r="BB5" t="s">
        <v>221</v>
      </c>
      <c r="BC5" t="s">
        <v>222</v>
      </c>
    </row>
    <row r="6" ht="15" customHeight="1" spans="1:55" x14ac:dyDescent="0.25">
      <c r="A6" t="s">
        <v>223</v>
      </c>
      <c r="D6" t="s">
        <v>224</v>
      </c>
      <c r="F6" t="s">
        <v>225</v>
      </c>
      <c r="G6" t="s">
        <v>226</v>
      </c>
      <c r="H6" t="s">
        <v>227</v>
      </c>
      <c r="K6" t="s">
        <v>228</v>
      </c>
      <c r="L6" t="s">
        <v>229</v>
      </c>
      <c r="N6" t="s">
        <v>230</v>
      </c>
      <c r="P6" t="s">
        <v>231</v>
      </c>
      <c r="T6" t="s">
        <v>232</v>
      </c>
      <c r="V6" t="s">
        <v>233</v>
      </c>
      <c r="W6" t="s">
        <v>234</v>
      </c>
      <c r="Y6" t="s">
        <v>235</v>
      </c>
      <c r="Z6" t="s">
        <v>236</v>
      </c>
      <c r="AB6" t="s">
        <v>237</v>
      </c>
      <c r="AD6" t="s">
        <v>238</v>
      </c>
      <c r="AE6" t="s">
        <v>239</v>
      </c>
      <c r="AI6" t="s">
        <v>240</v>
      </c>
      <c r="AK6" t="s">
        <v>241</v>
      </c>
      <c r="AM6" t="s">
        <v>242</v>
      </c>
      <c r="AN6" t="s">
        <v>243</v>
      </c>
      <c r="AO6" t="s">
        <v>244</v>
      </c>
      <c r="AS6" t="s">
        <v>245</v>
      </c>
      <c r="AT6" t="s">
        <v>246</v>
      </c>
      <c r="AU6" t="s">
        <v>247</v>
      </c>
      <c r="AV6" t="s">
        <v>248</v>
      </c>
      <c r="AW6" t="s">
        <v>249</v>
      </c>
      <c r="AX6" t="s">
        <v>250</v>
      </c>
      <c r="AZ6" t="s">
        <v>251</v>
      </c>
      <c r="BA6" t="s">
        <v>252</v>
      </c>
      <c r="BB6" t="s">
        <v>253</v>
      </c>
      <c r="BC6" t="s">
        <v>254</v>
      </c>
    </row>
    <row r="7" ht="15" customHeight="1" spans="1:55" x14ac:dyDescent="0.25">
      <c r="A7" t="s">
        <v>255</v>
      </c>
      <c r="D7" t="s">
        <v>256</v>
      </c>
      <c r="F7" t="s">
        <v>257</v>
      </c>
      <c r="G7" t="s">
        <v>258</v>
      </c>
      <c r="H7" t="s">
        <v>259</v>
      </c>
      <c r="K7" t="s">
        <v>260</v>
      </c>
      <c r="L7" t="s">
        <v>261</v>
      </c>
      <c r="N7" t="s">
        <v>262</v>
      </c>
      <c r="P7" t="s">
        <v>263</v>
      </c>
      <c r="T7" t="s">
        <v>264</v>
      </c>
      <c r="V7" t="s">
        <v>265</v>
      </c>
      <c r="W7" t="s">
        <v>266</v>
      </c>
      <c r="Y7" t="s">
        <v>267</v>
      </c>
      <c r="Z7" t="s">
        <v>268</v>
      </c>
      <c r="AB7" t="s">
        <v>269</v>
      </c>
      <c r="AD7" t="s">
        <v>270</v>
      </c>
      <c r="AE7" t="s">
        <v>271</v>
      </c>
      <c r="AI7" t="s">
        <v>272</v>
      </c>
      <c r="AK7" t="s">
        <v>273</v>
      </c>
      <c r="AM7" t="s">
        <v>274</v>
      </c>
      <c r="AN7" t="s">
        <v>275</v>
      </c>
      <c r="AO7" t="s">
        <v>276</v>
      </c>
      <c r="AS7" t="s">
        <v>277</v>
      </c>
      <c r="AT7" t="s">
        <v>278</v>
      </c>
      <c r="AU7" t="s">
        <v>279</v>
      </c>
      <c r="AV7" t="s">
        <v>280</v>
      </c>
      <c r="AW7" t="s">
        <v>281</v>
      </c>
      <c r="AX7" t="s">
        <v>282</v>
      </c>
      <c r="AZ7" t="s">
        <v>283</v>
      </c>
      <c r="BC7" t="s">
        <v>284</v>
      </c>
    </row>
    <row r="8" ht="15" customHeight="1" spans="1:55" x14ac:dyDescent="0.25">
      <c r="A8" t="s">
        <v>285</v>
      </c>
      <c r="D8" t="s">
        <v>286</v>
      </c>
      <c r="F8" t="s">
        <v>287</v>
      </c>
      <c r="G8" t="s">
        <v>288</v>
      </c>
      <c r="H8" t="s">
        <v>289</v>
      </c>
      <c r="K8" t="s">
        <v>290</v>
      </c>
      <c r="L8" t="s">
        <v>291</v>
      </c>
      <c r="V8" t="s">
        <v>292</v>
      </c>
      <c r="W8" t="s">
        <v>293</v>
      </c>
      <c r="Y8" t="s">
        <v>294</v>
      </c>
      <c r="AB8" t="s">
        <v>295</v>
      </c>
      <c r="AD8" t="s">
        <v>296</v>
      </c>
      <c r="AE8" t="s">
        <v>297</v>
      </c>
      <c r="AI8" t="s">
        <v>298</v>
      </c>
      <c r="AK8" t="s">
        <v>299</v>
      </c>
      <c r="AM8" t="s">
        <v>300</v>
      </c>
      <c r="AO8" t="s">
        <v>301</v>
      </c>
      <c r="AT8" t="s">
        <v>302</v>
      </c>
      <c r="AU8" t="s">
        <v>303</v>
      </c>
      <c r="AW8" t="s">
        <v>304</v>
      </c>
      <c r="AZ8" t="s">
        <v>305</v>
      </c>
      <c r="BC8" t="s">
        <v>306</v>
      </c>
    </row>
    <row r="9" ht="15" customHeight="1" spans="7:55" x14ac:dyDescent="0.25">
      <c r="G9" t="s">
        <v>307</v>
      </c>
      <c r="L9" t="s">
        <v>308</v>
      </c>
      <c r="AD9" t="s">
        <v>309</v>
      </c>
      <c r="AE9" t="s">
        <v>310</v>
      </c>
      <c r="AK9" t="s">
        <v>311</v>
      </c>
      <c r="AT9" t="s">
        <v>312</v>
      </c>
      <c r="BC9" t="s">
        <v>313</v>
      </c>
    </row>
    <row r="10" ht="15" customHeight="1" spans="46:55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workbookViewId="0" zoomScale="100" zoomScaleNormal="100">
      <selection activeCell="E16" sqref="E16"/>
    </sheetView>
  </sheetViews>
  <sheetFormatPr defaultRowHeight="15" outlineLevelRow="0" outlineLevelCol="0" x14ac:dyDescent="0.25"/>
  <cols>
    <col min="1" max="1" width="13.8554687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9" t="s">
        <v>314</v>
      </c>
      <c r="B1" s="10"/>
      <c r="C1" s="11">
        <f>COUNTIF(AHL_DAT_STRING!4:18,"&lt;&gt;")</f>
        <v>184</v>
      </c>
    </row>
    <row r="2" ht="15.75" customHeight="1" spans="1:3" x14ac:dyDescent="0.25">
      <c r="A2" s="12" t="s">
        <v>315</v>
      </c>
      <c r="B2" s="13"/>
      <c r="C2" s="14">
        <f>C1*4</f>
        <v>736</v>
      </c>
    </row>
    <row r="3" spans="1:8" x14ac:dyDescent="0.25">
      <c r="A3" s="15" t="s">
        <v>315</v>
      </c>
      <c r="B3" s="16">
        <f>COUNTIF(AHL!4:50, "&lt;&gt;")</f>
        <v>736</v>
      </c>
      <c r="E3" s="17" t="s">
        <v>316</v>
      </c>
      <c r="F3" s="13"/>
      <c r="G3" s="13"/>
      <c r="H3" s="13"/>
    </row>
    <row r="4" ht="15.75" customHeight="1" spans="1:12" x14ac:dyDescent="0.25">
      <c r="A4" s="18" t="s">
        <v>317</v>
      </c>
      <c r="B4" s="19">
        <f>SUMIF(AHL!2:2,"sl",AHL!1:1)</f>
        <v>105</v>
      </c>
      <c r="E4" t="s">
        <v>318</v>
      </c>
      <c r="F4" t="s">
        <v>319</v>
      </c>
      <c r="G4" t="s">
        <v>320</v>
      </c>
      <c r="H4" t="s">
        <v>321</v>
      </c>
      <c r="I4" t="s">
        <v>322</v>
      </c>
      <c r="J4" t="s">
        <v>323</v>
      </c>
      <c r="K4" t="s">
        <v>324</v>
      </c>
      <c r="L4" t="s">
        <v>325</v>
      </c>
    </row>
    <row r="5" ht="15.75" customHeight="1" spans="1:12" x14ac:dyDescent="0.25">
      <c r="A5" s="18" t="s">
        <v>1</v>
      </c>
      <c r="B5" s="19">
        <f>SUMIF(AHL!2:2,"hr",AHL!1:1)</f>
        <v>23</v>
      </c>
      <c r="E5" s="20" t="s">
        <v>317</v>
      </c>
      <c r="F5" s="21">
        <v>2</v>
      </c>
      <c r="G5" s="22">
        <f>F5/13</f>
        <v>0.15384615384615385</v>
      </c>
      <c r="H5" s="23">
        <f>B4/B3</f>
        <v>0.14266304347826086</v>
      </c>
      <c r="I5" s="24">
        <f>C2*G5</f>
        <v>113.23076923076924</v>
      </c>
      <c r="J5">
        <f>B4</f>
        <v>105</v>
      </c>
      <c r="K5" s="25">
        <f>J5-I5</f>
        <v>-8.23076923076924</v>
      </c>
      <c r="L5" s="26">
        <f>K5/4</f>
        <v>-2.05769230769231</v>
      </c>
    </row>
    <row r="6" ht="15.75" customHeight="1" spans="1:12" x14ac:dyDescent="0.25">
      <c r="A6" s="18" t="s">
        <v>2</v>
      </c>
      <c r="B6" s="19">
        <f>SUMIF(AHL!2:2,"it",AHL!1:1)</f>
        <v>295</v>
      </c>
      <c r="E6" s="20" t="s">
        <v>1</v>
      </c>
      <c r="F6" s="21">
        <v>1</v>
      </c>
      <c r="G6" s="22">
        <f>F6/13</f>
        <v>0.07692307692307693</v>
      </c>
      <c r="H6" s="23">
        <f>B5/B3</f>
        <v>0.03125</v>
      </c>
      <c r="I6" s="24">
        <f>C2*G6</f>
        <v>56.61538461538462</v>
      </c>
      <c r="J6">
        <f>B5</f>
        <v>23</v>
      </c>
      <c r="K6" s="25">
        <f>J6-I6</f>
        <v>-33.61538461538462</v>
      </c>
      <c r="L6" s="26">
        <f t="shared" ref="L6" si="0">K6/4</f>
        <v>-8.403846153846155</v>
      </c>
    </row>
    <row r="7" ht="15.75" customHeight="1" spans="1:12" x14ac:dyDescent="0.25">
      <c r="A7" s="27" t="s">
        <v>3</v>
      </c>
      <c r="B7" s="28">
        <f>SUMIF(AHL!2:2,"au",AHL!1:1)</f>
        <v>313</v>
      </c>
      <c r="E7" s="29" t="s">
        <v>326</v>
      </c>
      <c r="F7" s="30">
        <v>3</v>
      </c>
      <c r="G7" s="31">
        <f t="shared" ref="G7:G9" si="1">F7/13</f>
        <v>0.23076923076923078</v>
      </c>
      <c r="H7" s="32">
        <f>(B5+B4)/B3</f>
        <v>0.17391304347826086</v>
      </c>
      <c r="I7" s="24">
        <f>C2*G7</f>
        <v>169.84615384615387</v>
      </c>
      <c r="J7">
        <f>B4+B5</f>
        <v>128</v>
      </c>
      <c r="K7" s="25">
        <f>J7-I7</f>
        <v>-41.84615384615387</v>
      </c>
      <c r="L7" s="26">
        <f>K7/4</f>
        <v>-10.461538461538467</v>
      </c>
    </row>
    <row r="8" ht="15.75" customHeight="1" spans="5:12" x14ac:dyDescent="0.25">
      <c r="E8" s="33" t="s">
        <v>327</v>
      </c>
      <c r="F8" s="34">
        <v>6</v>
      </c>
      <c r="G8" s="35">
        <f t="shared" si="1"/>
        <v>0.46153846153846156</v>
      </c>
      <c r="H8" s="36">
        <f>B6/B3</f>
        <v>0.4008152173913043</v>
      </c>
      <c r="I8" s="24">
        <f>C2*G8</f>
        <v>339.69230769230774</v>
      </c>
      <c r="J8">
        <f>B6</f>
        <v>295</v>
      </c>
      <c r="K8" s="25">
        <f>J8-I8</f>
        <v>-44.692307692307736</v>
      </c>
      <c r="L8" s="26">
        <f>K8/4</f>
        <v>-11.173076923076934</v>
      </c>
    </row>
    <row r="9" ht="15.75" customHeight="1" spans="1:12" x14ac:dyDescent="0.25">
      <c r="A9" t="s">
        <v>328</v>
      </c>
      <c r="B9">
        <f>SUM(B4:B7)</f>
        <v>736</v>
      </c>
      <c r="E9" s="33" t="s">
        <v>329</v>
      </c>
      <c r="F9" s="34">
        <v>4</v>
      </c>
      <c r="G9" s="35">
        <f t="shared" si="1"/>
        <v>0.3076923076923077</v>
      </c>
      <c r="H9" s="36">
        <f>B7/B3</f>
        <v>0.42527173913043476</v>
      </c>
      <c r="I9" s="24">
        <f>C2*G9</f>
        <v>226.46153846153848</v>
      </c>
      <c r="J9">
        <f>B7</f>
        <v>313</v>
      </c>
      <c r="K9" s="37">
        <f>J9-I9</f>
        <v>86.53846153846152</v>
      </c>
      <c r="L9" s="26">
        <f>K9/4</f>
        <v>21.63461538461538</v>
      </c>
    </row>
    <row r="11" spans="8:12" x14ac:dyDescent="0.25">
      <c r="H11" s="38" t="s">
        <v>330</v>
      </c>
      <c r="I11" s="39">
        <f>SUM(I7:I9)</f>
        <v>736.0000000000001</v>
      </c>
      <c r="J11" s="33">
        <f>SUM(J7:J9)</f>
        <v>736</v>
      </c>
      <c r="K11" s="40">
        <f>SUM(K7:K9)</f>
        <v>0</v>
      </c>
      <c r="L11" s="41">
        <f>SUM(L7:L9)</f>
        <v>0</v>
      </c>
    </row>
    <row r="16" ht="15.75" customHeight="1" spans="5:12" x14ac:dyDescent="0.25">
      <c r="E16" t="s">
        <v>331</v>
      </c>
      <c r="F16" t="s">
        <v>319</v>
      </c>
      <c r="G16" t="s">
        <v>332</v>
      </c>
      <c r="H16" t="s">
        <v>321</v>
      </c>
      <c r="I16" s="42" t="s">
        <v>322</v>
      </c>
      <c r="J16" s="42" t="s">
        <v>323</v>
      </c>
      <c r="K16" t="s">
        <v>324</v>
      </c>
      <c r="L16" t="s">
        <v>325</v>
      </c>
    </row>
    <row r="17" spans="5:12" x14ac:dyDescent="0.25">
      <c r="E17" s="43" t="s">
        <v>326</v>
      </c>
      <c r="F17" s="44">
        <v>3</v>
      </c>
      <c r="G17" s="45">
        <f t="shared" ref="G17:G19" si="2">F17/13</f>
        <v>0.23076923076923078</v>
      </c>
      <c r="H17" s="46">
        <f>(B5+B4)/B3</f>
        <v>0.17391304347826086</v>
      </c>
      <c r="I17" s="47">
        <f>B3*G17</f>
        <v>169.84615384615387</v>
      </c>
      <c r="J17" s="48">
        <f>B5+B4</f>
        <v>128</v>
      </c>
      <c r="K17" s="49">
        <f>J17-I17</f>
        <v>-41.84615384615387</v>
      </c>
      <c r="L17" s="26">
        <f>K17/4</f>
        <v>-10.461538461538467</v>
      </c>
    </row>
    <row r="18" spans="5:17" x14ac:dyDescent="0.25">
      <c r="E18" s="50" t="s">
        <v>327</v>
      </c>
      <c r="F18" s="51">
        <v>6</v>
      </c>
      <c r="G18" s="52">
        <f t="shared" si="2"/>
        <v>0.46153846153846156</v>
      </c>
      <c r="H18" s="53">
        <f>B6/B3</f>
        <v>0.4008152173913043</v>
      </c>
      <c r="I18" s="54">
        <f>B3*G18</f>
        <v>339.69230769230774</v>
      </c>
      <c r="J18" s="55">
        <f>B6</f>
        <v>295</v>
      </c>
      <c r="K18" s="56">
        <f>J18-I18</f>
        <v>-44.692307692307736</v>
      </c>
      <c r="L18" s="26">
        <f>K18/4</f>
        <v>-11.173076923076934</v>
      </c>
      <c r="Q18" s="57"/>
    </row>
    <row r="19" ht="15.75" customHeight="1" spans="5:12" x14ac:dyDescent="0.25">
      <c r="E19" s="58" t="s">
        <v>329</v>
      </c>
      <c r="F19" s="59">
        <v>4</v>
      </c>
      <c r="G19" s="60">
        <f t="shared" si="2"/>
        <v>0.3076923076923077</v>
      </c>
      <c r="H19" s="61">
        <f>B7/B3</f>
        <v>0.42527173913043476</v>
      </c>
      <c r="I19" s="62">
        <f>B3*G19</f>
        <v>226.46153846153848</v>
      </c>
      <c r="J19" s="63">
        <f>B7</f>
        <v>313</v>
      </c>
      <c r="K19" s="64">
        <f>J19-I19</f>
        <v>86.53846153846152</v>
      </c>
      <c r="L19" s="26">
        <f>K19/4</f>
        <v>21.63461538461538</v>
      </c>
    </row>
    <row r="24" ht="15.75" customHeight="1" spans="5:19" x14ac:dyDescent="0.25">
      <c r="E24" s="13"/>
      <c r="F24" s="13"/>
      <c r="P24" s="65" t="s">
        <v>333</v>
      </c>
      <c r="Q24" s="65"/>
      <c r="R24" s="65"/>
      <c r="S24" s="65"/>
    </row>
    <row r="25" ht="75.75" customHeight="1" spans="16:19" x14ac:dyDescent="0.25">
      <c r="P25" s="66"/>
      <c r="Q25" s="67" t="s">
        <v>334</v>
      </c>
      <c r="R25" s="68" t="s">
        <v>335</v>
      </c>
      <c r="S25" s="69" t="s">
        <v>324</v>
      </c>
    </row>
    <row r="26" spans="16:19" x14ac:dyDescent="0.25">
      <c r="P26" s="70" t="s">
        <v>327</v>
      </c>
      <c r="Q26" s="33">
        <v>247</v>
      </c>
      <c r="R26" s="33">
        <v>212</v>
      </c>
      <c r="S26" s="19">
        <f>R26-Q26</f>
        <v>-35</v>
      </c>
    </row>
    <row r="27" spans="16:19" x14ac:dyDescent="0.25">
      <c r="P27" s="70" t="s">
        <v>326</v>
      </c>
      <c r="Q27" s="33">
        <v>124</v>
      </c>
      <c r="R27" s="33">
        <v>92</v>
      </c>
      <c r="S27" s="19">
        <f t="shared" ref="S27:S28" si="3">R27-Q27</f>
        <v>-32</v>
      </c>
    </row>
    <row r="28" ht="15.75" customHeight="1" spans="16:19" x14ac:dyDescent="0.25">
      <c r="P28" s="71" t="s">
        <v>329</v>
      </c>
      <c r="Q28" s="72">
        <v>165</v>
      </c>
      <c r="R28" s="72">
        <v>232</v>
      </c>
      <c r="S28" s="28">
        <f t="shared" si="3"/>
        <v>67</v>
      </c>
    </row>
  </sheetData>
  <mergeCells count="5">
    <mergeCell ref="A1:B1"/>
    <mergeCell ref="A2:B2"/>
    <mergeCell ref="E3:H3"/>
    <mergeCell ref="E24:F24"/>
    <mergeCell ref="P24:S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2024-12-09T12:16:13Z</dcterms:modified>
</cp:coreProperties>
</file>