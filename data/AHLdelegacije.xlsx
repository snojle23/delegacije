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0753D57C-8CC7-497B-AB01-59CC5988ADA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5" l="1"/>
  <c r="G24" i="5"/>
  <c r="G23" i="5"/>
  <c r="G19" i="5"/>
  <c r="G18" i="5"/>
  <c r="G17" i="5"/>
  <c r="G9" i="5"/>
  <c r="G8" i="5"/>
  <c r="G7" i="5"/>
  <c r="B7" i="5"/>
  <c r="G6" i="5"/>
  <c r="G5" i="5"/>
  <c r="B5" i="5"/>
  <c r="J6" i="5" s="1"/>
  <c r="B4" i="5"/>
  <c r="J5" i="5" s="1"/>
  <c r="B3" i="5"/>
  <c r="C1" i="5"/>
  <c r="C2" i="5" s="1"/>
  <c r="C6" i="5"/>
  <c r="C4" i="5"/>
  <c r="B6" i="5" l="1"/>
  <c r="H8" i="5" s="1"/>
  <c r="C7" i="5"/>
  <c r="C8" i="5" s="1"/>
  <c r="I23" i="5" s="1"/>
  <c r="I5" i="5"/>
  <c r="K5" i="5" s="1"/>
  <c r="L5" i="5" s="1"/>
  <c r="I8" i="5"/>
  <c r="I6" i="5"/>
  <c r="I9" i="5"/>
  <c r="I7" i="5"/>
  <c r="I11" i="5" s="1"/>
  <c r="K6" i="5"/>
  <c r="L6" i="5" s="1"/>
  <c r="H7" i="5"/>
  <c r="H17" i="5"/>
  <c r="H19" i="5"/>
  <c r="I17" i="5"/>
  <c r="I19" i="5"/>
  <c r="J7" i="5"/>
  <c r="H9" i="5"/>
  <c r="J17" i="5"/>
  <c r="J19" i="5"/>
  <c r="H6" i="5"/>
  <c r="J9" i="5"/>
  <c r="I18" i="5"/>
  <c r="H5" i="5"/>
  <c r="J23" i="5"/>
  <c r="H25" i="5" l="1"/>
  <c r="I24" i="5"/>
  <c r="J25" i="5"/>
  <c r="I25" i="5"/>
  <c r="K19" i="5"/>
  <c r="L19" i="5" s="1"/>
  <c r="H23" i="5"/>
  <c r="H18" i="5"/>
  <c r="B9" i="5"/>
  <c r="H26" i="5" s="1"/>
  <c r="J8" i="5"/>
  <c r="K8" i="5" s="1"/>
  <c r="L8" i="5" s="1"/>
  <c r="K17" i="5"/>
  <c r="L17" i="5" s="1"/>
  <c r="J18" i="5"/>
  <c r="K18" i="5" s="1"/>
  <c r="L18" i="5" s="1"/>
  <c r="H24" i="5"/>
  <c r="J24" i="5"/>
  <c r="K23" i="5"/>
  <c r="K7" i="5"/>
  <c r="K9" i="5"/>
  <c r="L9" i="5" s="1"/>
  <c r="J26" i="5"/>
  <c r="K25" i="5" l="1"/>
  <c r="K24" i="5"/>
  <c r="J28" i="5"/>
  <c r="K28" i="5"/>
  <c r="J11" i="5"/>
  <c r="K11" i="5"/>
  <c r="L7" i="5"/>
  <c r="L11" i="5" s="1"/>
</calcChain>
</file>

<file path=xl/sharedStrings.xml><?xml version="1.0" encoding="utf-8"?>
<sst xmlns="http://schemas.openxmlformats.org/spreadsheetml/2006/main" count="47" uniqueCount="25">
  <si>
    <t>hr</t>
  </si>
  <si>
    <t>it</t>
  </si>
  <si>
    <t>au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</si>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</sst>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3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4" borderId="10" xfId="0" applyFill="1" applyBorder="1"/>
    <xf numFmtId="0" fontId="0" fillId="4" borderId="10" xfId="0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/>
    <xf numFmtId="1" fontId="0" fillId="5" borderId="10" xfId="0" applyNumberFormat="1" applyFill="1" applyBorder="1"/>
    <xf numFmtId="1" fontId="2" fillId="6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8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7" borderId="6" xfId="0" applyFill="1" applyBorder="1"/>
    <xf numFmtId="0" fontId="0" fillId="7" borderId="18" xfId="0" applyFill="1" applyBorder="1" applyAlignment="1">
      <alignment horizontal="center"/>
    </xf>
    <xf numFmtId="10" fontId="0" fillId="7" borderId="18" xfId="0" applyNumberFormat="1" applyFill="1" applyBorder="1" applyAlignment="1">
      <alignment horizontal="center"/>
    </xf>
    <xf numFmtId="10" fontId="0" fillId="7" borderId="18" xfId="0" applyNumberFormat="1" applyFill="1" applyBorder="1"/>
    <xf numFmtId="1" fontId="4" fillId="7" borderId="18" xfId="0" applyNumberFormat="1" applyFont="1" applyFill="1" applyBorder="1" applyAlignment="1">
      <alignment horizontal="center"/>
    </xf>
    <xf numFmtId="0" fontId="4" fillId="7" borderId="18" xfId="0" applyFont="1" applyFill="1" applyBorder="1" applyAlignment="1">
      <alignment horizontal="center"/>
    </xf>
    <xf numFmtId="1" fontId="2" fillId="6" borderId="7" xfId="0" applyNumberFormat="1" applyFont="1" applyFill="1" applyBorder="1" applyAlignment="1">
      <alignment horizontal="center"/>
    </xf>
    <xf numFmtId="0" fontId="0" fillId="2" borderId="8" xfId="0" applyFill="1" applyBorder="1"/>
    <xf numFmtId="0" fontId="0" fillId="2" borderId="10" xfId="0" applyFill="1" applyBorder="1" applyAlignment="1">
      <alignment horizontal="center"/>
    </xf>
    <xf numFmtId="10" fontId="0" fillId="2" borderId="10" xfId="0" applyNumberFormat="1" applyFill="1" applyBorder="1" applyAlignment="1">
      <alignment horizontal="center"/>
    </xf>
    <xf numFmtId="10" fontId="0" fillId="2" borderId="10" xfId="0" applyNumberFormat="1" applyFill="1" applyBorder="1"/>
    <xf numFmtId="1" fontId="4" fillId="2" borderId="10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1" fontId="2" fillId="6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9" borderId="12" xfId="0" applyFill="1" applyBorder="1"/>
    <xf numFmtId="0" fontId="0" fillId="9" borderId="19" xfId="0" applyFill="1" applyBorder="1" applyAlignment="1">
      <alignment horizontal="center"/>
    </xf>
    <xf numFmtId="10" fontId="0" fillId="9" borderId="19" xfId="0" applyNumberFormat="1" applyFill="1" applyBorder="1" applyAlignment="1">
      <alignment horizontal="center"/>
    </xf>
    <xf numFmtId="10" fontId="0" fillId="9" borderId="19" xfId="0" applyNumberFormat="1" applyFill="1" applyBorder="1"/>
    <xf numFmtId="1" fontId="4" fillId="9" borderId="19" xfId="0" applyNumberFormat="1" applyFont="1" applyFill="1" applyBorder="1" applyAlignment="1">
      <alignment horizontal="center"/>
    </xf>
    <xf numFmtId="0" fontId="4" fillId="9" borderId="19" xfId="0" applyFont="1" applyFill="1" applyBorder="1" applyAlignment="1">
      <alignment horizontal="center"/>
    </xf>
    <xf numFmtId="1" fontId="3" fillId="8" borderId="13" xfId="0" applyNumberFormat="1" applyFont="1" applyFill="1" applyBorder="1" applyAlignment="1">
      <alignment horizontal="center"/>
    </xf>
    <xf numFmtId="9" fontId="0" fillId="3" borderId="0" xfId="0" applyNumberFormat="1" applyFill="1"/>
    <xf numFmtId="0" fontId="4" fillId="3" borderId="0" xfId="0" applyFont="1" applyFill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73"/>
  <sheetViews>
    <sheetView zoomScaleNormal="100" workbookViewId="0">
      <selection activeCell="M10" sqref="M10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3" ht="15" customHeight="1" x14ac:dyDescent="0.25"/>
    <row r="4" ht="15" customHeight="1" x14ac:dyDescent="0.25"/>
    <row r="5" ht="15" customHeight="1" x14ac:dyDescent="0.25"/>
    <row r="6" ht="15" customHeight="1" x14ac:dyDescent="0.25"/>
    <row r="7" ht="15" customHeight="1" x14ac:dyDescent="0.25"/>
    <row r="8" ht="15" customHeight="1" x14ac:dyDescent="0.25"/>
    <row r="9" ht="15" customHeight="1" x14ac:dyDescent="0.25"/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A42"/>
  <sheetViews>
    <sheetView topLeftCell="BZ1" zoomScaleNormal="100" workbookViewId="0">
      <selection activeCell="CN15" sqref="CN15:CN16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x14ac:dyDescent="0.25"/>
    <row r="4" ht="15" customHeight="1" x14ac:dyDescent="0.25"/>
    <row r="5" ht="15" customHeight="1" x14ac:dyDescent="0.25"/>
    <row r="6" ht="15" customHeight="1" x14ac:dyDescent="0.25"/>
    <row r="7" ht="15" customHeight="1" x14ac:dyDescent="0.25"/>
    <row r="8" ht="15" customHeight="1" x14ac:dyDescent="0.25"/>
    <row r="9" ht="15" customHeight="1" x14ac:dyDescent="0.25"/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14"/>
  <sheetViews>
    <sheetView tabSelected="1" topLeftCell="CO1" zoomScale="96" zoomScaleNormal="96" workbookViewId="0">
      <selection activeCell="CW26" activeCellId="1" sqref="CX15 CW26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x14ac:dyDescent="0.25"/>
    <row r="4" ht="15" customHeight="1" x14ac:dyDescent="0.25"/>
    <row r="5" ht="15" customHeight="1" x14ac:dyDescent="0.25"/>
    <row r="6" ht="15" customHeight="1" x14ac:dyDescent="0.25"/>
    <row r="7" ht="15" customHeight="1" x14ac:dyDescent="0.25"/>
    <row r="8" ht="15" customHeight="1" x14ac:dyDescent="0.25"/>
    <row r="9" ht="15" customHeight="1" x14ac:dyDescent="0.25"/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C6" sqref="C6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57" t="s">
        <v>3</v>
      </c>
      <c r="B1" s="58"/>
      <c r="C1" s="2">
        <f>COUNTIF(AHL_DAT_STRING!4:18,"&lt;&gt;")</f>
        <v>0</v>
      </c>
    </row>
    <row r="2" spans="1:12" ht="15.75" customHeight="1" x14ac:dyDescent="0.25">
      <c r="A2" s="59" t="s">
        <v>4</v>
      </c>
      <c r="B2" s="60"/>
      <c r="C2" s="3">
        <f>C1*4</f>
        <v>0</v>
      </c>
    </row>
    <row r="3" spans="1:12" x14ac:dyDescent="0.25">
      <c r="A3" s="4" t="s">
        <v>4</v>
      </c>
      <c r="B3" s="5">
        <f>COUNTIF(AHL!4:50, "&lt;&gt;")</f>
        <v>0</v>
      </c>
      <c r="E3" s="61" t="s">
        <v>5</v>
      </c>
      <c r="F3" s="60"/>
      <c r="G3" s="60"/>
      <c r="H3" s="60"/>
    </row>
    <row r="4" spans="1:12" ht="15.75" customHeight="1" x14ac:dyDescent="0.25">
      <c r="A4" s="6" t="s">
        <v>6</v>
      </c>
      <c r="B4" s="7">
        <f>SUMIF(AHL!2:2,"sl",AHL!1:1)</f>
        <v>0</v>
      </c>
      <c r="C4">
        <f>AHL!I1</f>
        <v>0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</row>
    <row r="5" spans="1:12" ht="15.75" customHeight="1" x14ac:dyDescent="0.25">
      <c r="A5" s="6" t="s">
        <v>0</v>
      </c>
      <c r="B5" s="7">
        <f>SUMIF(AHL!2:2,"hr",AHL!1:1)</f>
        <v>0</v>
      </c>
      <c r="E5" s="8" t="s">
        <v>6</v>
      </c>
      <c r="F5" s="9">
        <v>2</v>
      </c>
      <c r="G5" s="10">
        <f>F5/13</f>
        <v>0.15384615384615385</v>
      </c>
      <c r="H5" s="11" t="e">
        <f>B4/B3</f>
        <v>#DIV/0!</v>
      </c>
      <c r="I5" s="12">
        <f>C2*G5</f>
        <v>0</v>
      </c>
      <c r="J5">
        <f>B4</f>
        <v>0</v>
      </c>
      <c r="K5" s="13">
        <f>J5-I5</f>
        <v>0</v>
      </c>
      <c r="L5" s="14">
        <f>K5/4</f>
        <v>0</v>
      </c>
    </row>
    <row r="6" spans="1:12" ht="15.75" customHeight="1" x14ac:dyDescent="0.25">
      <c r="A6" s="6" t="s">
        <v>1</v>
      </c>
      <c r="B6" s="7">
        <f>SUMIF(AHL!2:2,"it",AHL!1:1)</f>
        <v>0</v>
      </c>
      <c r="C6">
        <f>AHL!X1</f>
        <v>0</v>
      </c>
      <c r="E6" s="8" t="s">
        <v>0</v>
      </c>
      <c r="F6" s="9">
        <v>1</v>
      </c>
      <c r="G6" s="10">
        <f>F6/13</f>
        <v>7.6923076923076927E-2</v>
      </c>
      <c r="H6" s="11" t="e">
        <f>B5/B3</f>
        <v>#DIV/0!</v>
      </c>
      <c r="I6" s="12">
        <f>C2*G6</f>
        <v>0</v>
      </c>
      <c r="J6">
        <f>B5</f>
        <v>0</v>
      </c>
      <c r="K6" s="13">
        <f>J6-I6</f>
        <v>0</v>
      </c>
      <c r="L6" s="14">
        <f t="shared" ref="L6" si="0">K6/4</f>
        <v>0</v>
      </c>
    </row>
    <row r="7" spans="1:12" ht="15.75" customHeight="1" x14ac:dyDescent="0.25">
      <c r="A7" s="15" t="s">
        <v>2</v>
      </c>
      <c r="B7" s="16">
        <f>SUMIF(AHL!2:2,"au",AHL!1:1)</f>
        <v>0</v>
      </c>
      <c r="C7">
        <f>SUM(AHL!AL1,AHL!AU1,AHL!BA1,AHL!BE1,AHL!BF1,AHL!BG1,AHL!BH1,AHL!BD1)</f>
        <v>0</v>
      </c>
      <c r="E7" s="17" t="s">
        <v>15</v>
      </c>
      <c r="F7" s="18">
        <v>3</v>
      </c>
      <c r="G7" s="19">
        <f t="shared" ref="G7:G9" si="1">F7/13</f>
        <v>0.23076923076923078</v>
      </c>
      <c r="H7" s="20" t="e">
        <f>(B5+B4)/B3</f>
        <v>#DIV/0!</v>
      </c>
      <c r="I7" s="12">
        <f>C2*G7</f>
        <v>0</v>
      </c>
      <c r="J7">
        <f>B4+B5</f>
        <v>0</v>
      </c>
      <c r="K7" s="13">
        <f>J7-I7</f>
        <v>0</v>
      </c>
      <c r="L7" s="14">
        <f>K7/4</f>
        <v>0</v>
      </c>
    </row>
    <row r="8" spans="1:12" ht="15.75" customHeight="1" x14ac:dyDescent="0.25">
      <c r="A8" s="21" t="s">
        <v>16</v>
      </c>
      <c r="C8">
        <f>SUM(C4:C7)</f>
        <v>0</v>
      </c>
      <c r="E8" s="22" t="s">
        <v>17</v>
      </c>
      <c r="F8" s="23">
        <v>6</v>
      </c>
      <c r="G8" s="24">
        <f t="shared" si="1"/>
        <v>0.46153846153846156</v>
      </c>
      <c r="H8" s="25" t="e">
        <f>B6/B3</f>
        <v>#DIV/0!</v>
      </c>
      <c r="I8" s="12">
        <f>C2*G8</f>
        <v>0</v>
      </c>
      <c r="J8">
        <f>B6</f>
        <v>0</v>
      </c>
      <c r="K8" s="13">
        <f>J8-I8</f>
        <v>0</v>
      </c>
      <c r="L8" s="14">
        <f>K8/4</f>
        <v>0</v>
      </c>
    </row>
    <row r="9" spans="1:12" ht="15.75" customHeight="1" x14ac:dyDescent="0.25">
      <c r="A9" t="s">
        <v>18</v>
      </c>
      <c r="B9">
        <f>SUM(B4:B7)</f>
        <v>0</v>
      </c>
      <c r="E9" s="22" t="s">
        <v>19</v>
      </c>
      <c r="F9" s="23">
        <v>4</v>
      </c>
      <c r="G9" s="24">
        <f t="shared" si="1"/>
        <v>0.30769230769230771</v>
      </c>
      <c r="H9" s="25" t="e">
        <f>B7/B3</f>
        <v>#DIV/0!</v>
      </c>
      <c r="I9" s="12">
        <f>C2*G9</f>
        <v>0</v>
      </c>
      <c r="J9">
        <f>B7</f>
        <v>0</v>
      </c>
      <c r="K9" s="26">
        <f>J9-I9</f>
        <v>0</v>
      </c>
      <c r="L9" s="14">
        <f>K9/4</f>
        <v>0</v>
      </c>
    </row>
    <row r="11" spans="1:12" x14ac:dyDescent="0.25">
      <c r="H11" s="27" t="s">
        <v>20</v>
      </c>
      <c r="I11" s="28">
        <f>SUM(I7:I9)</f>
        <v>0</v>
      </c>
      <c r="J11" s="22">
        <f>SUM(J7:J9)</f>
        <v>0</v>
      </c>
      <c r="K11" s="29">
        <f>SUM(K7:K9)</f>
        <v>0</v>
      </c>
      <c r="L11" s="30">
        <f>SUM(L7:L9)</f>
        <v>0</v>
      </c>
    </row>
    <row r="16" spans="1:12" ht="15.75" customHeight="1" x14ac:dyDescent="0.25">
      <c r="E16" t="s">
        <v>21</v>
      </c>
      <c r="F16" t="s">
        <v>8</v>
      </c>
      <c r="G16" t="s">
        <v>22</v>
      </c>
      <c r="H16" t="s">
        <v>10</v>
      </c>
      <c r="I16" s="31" t="s">
        <v>11</v>
      </c>
      <c r="J16" s="31" t="s">
        <v>12</v>
      </c>
      <c r="K16" t="s">
        <v>13</v>
      </c>
      <c r="L16" t="s">
        <v>14</v>
      </c>
    </row>
    <row r="17" spans="5:17" x14ac:dyDescent="0.25">
      <c r="E17" s="32" t="s">
        <v>15</v>
      </c>
      <c r="F17" s="33">
        <v>3</v>
      </c>
      <c r="G17" s="34">
        <f t="shared" ref="G17:G19" si="2">F17/13</f>
        <v>0.23076923076923078</v>
      </c>
      <c r="H17" s="35" t="e">
        <f>(B5+B4)/B3</f>
        <v>#DIV/0!</v>
      </c>
      <c r="I17" s="36">
        <f>B3*G17</f>
        <v>0</v>
      </c>
      <c r="J17" s="37">
        <f>B5+B4</f>
        <v>0</v>
      </c>
      <c r="K17" s="38">
        <f>J17-I17</f>
        <v>0</v>
      </c>
      <c r="L17" s="14">
        <f>K17/4</f>
        <v>0</v>
      </c>
    </row>
    <row r="18" spans="5:17" x14ac:dyDescent="0.25">
      <c r="E18" s="39" t="s">
        <v>17</v>
      </c>
      <c r="F18" s="40">
        <v>6</v>
      </c>
      <c r="G18" s="41">
        <f t="shared" si="2"/>
        <v>0.46153846153846156</v>
      </c>
      <c r="H18" s="42" t="e">
        <f>B6/B3</f>
        <v>#DIV/0!</v>
      </c>
      <c r="I18" s="43">
        <f>B3*G18</f>
        <v>0</v>
      </c>
      <c r="J18" s="44">
        <f>B6</f>
        <v>0</v>
      </c>
      <c r="K18" s="45">
        <f>J18-I18</f>
        <v>0</v>
      </c>
      <c r="L18" s="14">
        <f>K18/4</f>
        <v>0</v>
      </c>
      <c r="Q18" s="46"/>
    </row>
    <row r="19" spans="5:17" ht="15.75" customHeight="1" x14ac:dyDescent="0.25">
      <c r="E19" s="47" t="s">
        <v>19</v>
      </c>
      <c r="F19" s="48">
        <v>4</v>
      </c>
      <c r="G19" s="49">
        <f t="shared" si="2"/>
        <v>0.30769230769230771</v>
      </c>
      <c r="H19" s="50" t="e">
        <f>B7/B3</f>
        <v>#DIV/0!</v>
      </c>
      <c r="I19" s="51">
        <f>B3*G19</f>
        <v>0</v>
      </c>
      <c r="J19" s="52">
        <f>B7</f>
        <v>0</v>
      </c>
      <c r="K19" s="53">
        <f>J19-I19</f>
        <v>0</v>
      </c>
      <c r="L19" s="14">
        <f>K19/4</f>
        <v>0</v>
      </c>
    </row>
    <row r="21" spans="5:17" ht="46.5" customHeight="1" x14ac:dyDescent="0.7">
      <c r="E21" s="62" t="s">
        <v>23</v>
      </c>
      <c r="F21" s="62"/>
      <c r="G21" s="62"/>
      <c r="H21" s="62"/>
      <c r="I21" s="62"/>
      <c r="J21" s="62"/>
      <c r="K21" s="62"/>
    </row>
    <row r="22" spans="5:17" ht="15.75" customHeight="1" x14ac:dyDescent="0.25">
      <c r="F22" t="s">
        <v>8</v>
      </c>
      <c r="G22" t="s">
        <v>22</v>
      </c>
      <c r="H22" t="s">
        <v>10</v>
      </c>
      <c r="I22" s="31" t="s">
        <v>11</v>
      </c>
      <c r="J22" s="31" t="s">
        <v>12</v>
      </c>
      <c r="K22" t="s">
        <v>13</v>
      </c>
    </row>
    <row r="23" spans="5:17" x14ac:dyDescent="0.25">
      <c r="E23" s="32" t="s">
        <v>15</v>
      </c>
      <c r="F23" s="33">
        <v>3</v>
      </c>
      <c r="G23" s="34">
        <f t="shared" ref="G23:G25" si="3">F23/13</f>
        <v>0.23076923076923078</v>
      </c>
      <c r="H23" s="35" t="e">
        <f>(B4+B5-C4)/(B3-C8)</f>
        <v>#DIV/0!</v>
      </c>
      <c r="I23" s="36">
        <f>(B3-C8) *G23</f>
        <v>0</v>
      </c>
      <c r="J23" s="37">
        <f>B4+B5-C4</f>
        <v>0</v>
      </c>
      <c r="K23" s="38">
        <f>J23-I23</f>
        <v>0</v>
      </c>
    </row>
    <row r="24" spans="5:17" ht="15.75" customHeight="1" x14ac:dyDescent="0.25">
      <c r="E24" s="39" t="s">
        <v>17</v>
      </c>
      <c r="F24" s="40">
        <v>6</v>
      </c>
      <c r="G24" s="41">
        <f t="shared" si="3"/>
        <v>0.46153846153846156</v>
      </c>
      <c r="H24" s="42" t="e">
        <f>(B6-C4)/(B3-C8)</f>
        <v>#DIV/0!</v>
      </c>
      <c r="I24" s="43">
        <f>(B3-C8)*G24</f>
        <v>0</v>
      </c>
      <c r="J24" s="44">
        <f>B6-C6</f>
        <v>0</v>
      </c>
      <c r="K24" s="45">
        <f>J24-I24</f>
        <v>0</v>
      </c>
    </row>
    <row r="25" spans="5:17" ht="16.5" customHeight="1" x14ac:dyDescent="0.25">
      <c r="E25" s="47" t="s">
        <v>19</v>
      </c>
      <c r="F25" s="48">
        <v>4</v>
      </c>
      <c r="G25" s="49">
        <f t="shared" si="3"/>
        <v>0.30769230769230771</v>
      </c>
      <c r="H25" s="50" t="e">
        <f>(B7-C7)/(B3-C8)</f>
        <v>#DIV/0!</v>
      </c>
      <c r="I25" s="51">
        <f>(B3-C8)*G25</f>
        <v>0</v>
      </c>
      <c r="J25" s="52">
        <f>B7-C7</f>
        <v>0</v>
      </c>
      <c r="K25" s="53">
        <f>J25-I25</f>
        <v>0</v>
      </c>
    </row>
    <row r="26" spans="5:17" x14ac:dyDescent="0.25">
      <c r="E26" s="1" t="s">
        <v>24</v>
      </c>
      <c r="F26" s="1"/>
      <c r="G26" s="1"/>
      <c r="H26" s="54" t="e">
        <f>C8/B9</f>
        <v>#DIV/0!</v>
      </c>
      <c r="I26" s="1"/>
      <c r="J26" s="55">
        <f>C8</f>
        <v>0</v>
      </c>
      <c r="K26" s="1"/>
    </row>
    <row r="28" spans="5:17" ht="15.75" customHeight="1" x14ac:dyDescent="0.25">
      <c r="H28" t="s">
        <v>20</v>
      </c>
      <c r="J28">
        <f>SUM(J23:J26)</f>
        <v>0</v>
      </c>
      <c r="K28" s="56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2025-09-01T06:20:17Z</dcterms:modified>
</cp:coreProperties>
</file>