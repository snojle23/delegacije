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<sst xmlns="http://schemas.openxmlformats.org/spreadsheetml/2006/main" count="667" uniqueCount="155">
  <si>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</si>
  <si>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</si>
  <si>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</si>
  <si>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</si>
  <si>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</si>
  <si>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</si>
  <si>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</si>
  <si>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</si>
  <si>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</si>
  <si>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</si>
  <si>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</si>
  <si>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</si>
  <si>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</si>
  <si>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</si>
  <si>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</si>
  <si>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</si>
  <si>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</si>
  <si>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</si>
  <si>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</si>
  <si>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</si>
  <si>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</si>
  <si>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</si>
  <si>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</si>
  <si>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</si>
  <si>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</si>
  <si>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</si>
  <si>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</si>
  <si>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</si>
  <si>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</si>
  <si>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</si>
  <si>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</si>
  <si>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</si>
  <si>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</si>
  <si>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</si>
  <si>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</si>
  <si>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</si>
  <si>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</si>
  <si>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</si>
  <si>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</si>
  <si>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</si>
  <si>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</si>
  <si>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</si>
  <si>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</si>
  <si>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</si>
  <si>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</si>
  <si>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</si>
  <si>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</si>
  <si>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</si>
  <si>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</si>
  <si>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</si>
  <si>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</si>
  <si>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</si>
  <si>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</si>
  <si>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</si>
  <si>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</si>
  <si>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</si>
  <si>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</si>
  <si>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</si>
  <si>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</si>
  <si>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</si>
  <si>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</si>
  <si>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</si>
  <si>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</si>
  <si>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</si>
  <si>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</si>
  <si>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2025-09-25</t>
  </si>
  <si>
    <t>2025-10-04</t>
  </si>
  <si>
    <t>2025-10-09</t>
  </si>
  <si>
    <t>2025-10-07</t>
  </si>
  <si>
    <t>2025-10-01</t>
  </si>
  <si>
    <t>2025-10-10</t>
  </si>
  <si>
    <t>2025-10-17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</si>
  <si>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</si>
  <si>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</si>
  <si>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</si>
  <si>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</si>
  <si>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</si>
  <si>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</si>
  <si>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</si>
  <si>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</si>
  <si>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Jesenice;BrockAd;SnojTa;ArlicMa;VeselkaMa</t>
  </si>
  <si>
    <t>Eishalle Sissek Zibel;MetzingerFi;UnterwegerDo;LegatKo;WuchererGe</t>
  </si>
  <si>
    <t>Eishalle Ritten;GiacomozziFe;LazzeriAl;CristeliMa;FleischmannLu</t>
  </si>
  <si>
    <t>Eisarena Salzburg;HlavatyAl;VoicanCh;PreiserJu;WendnerMa</t>
  </si>
  <si>
    <t>Eisarena Salzburg;HolzerTo;WidmannFl;DivisDo;WuchererGe</t>
  </si>
  <si>
    <t>Sportpark Kitzbühel;BulovecMi;MetzingerFi;BergeljNi;MoidlMa</t>
  </si>
  <si>
    <t>Eisarena Salzburg;VoicanCh;WinklerDa;PreiserJu;RinkerDa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</si>
  <si>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</si>
  <si>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</si>
  <si>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</si>
  <si>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rRe;WinklerDa;BrondiMa;BrondiPa</t>
  </si>
  <si>
    <t>Eishalle Jesenice;HlavatyAl;VoicanCh;LegatKo;MurnikPe</t>
  </si>
  <si>
    <t>Eishalle Asiago;MoschenAn;VirtaTu;BrondiPa;FecchioFe</t>
  </si>
  <si>
    <t>Würtharena Neumarkt;GiacomozziFe;StefenelliFe;BrondiMa;FleischmannLu</t>
  </si>
  <si>
    <t>Eishalle Asiago;PinieOm;StefenelliFe;GrisentiLu;IlmerNo</t>
  </si>
  <si>
    <t>Eishalle Ritten;Huber rRe;SpiegelSe;RinkerDa;SeewaldJe</t>
  </si>
  <si>
    <t>KELIT Arena Zell am See;BenvegnuAn;PinieOm;CristeliMa;SeewaldJe</t>
  </si>
  <si>
    <t>Eishalle Sissek Zibel;OrelSt;UnterwegerDo;LegatKo;WendnerMa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</si>
  <si>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</si>
  <si>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</si>
  <si>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</si>
  <si>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</si>
  <si>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</si>
  <si>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Meran;BergantAn;OrelSt;JeramFi;StrimitzerDa</t>
  </si>
  <si>
    <t>Eishalle Sterzing;HolzerTo;WinklerDa;DivisDo;StrimitzerDa</t>
  </si>
  <si>
    <t>Eishalle Jesenice;BrockAd;PirasAn;FecchioFe;Steiner fFe</t>
  </si>
  <si>
    <t>Würtharena Neumarkt;LazzeriAl;RivisFe;BrondiPa;CusinFe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</si>
  <si>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</si>
  <si>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</si>
  <si>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</si>
  <si>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</si>
  <si>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</si>
  <si>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rRe;LazzeriAl;AbeltinoSi;ZacherlPa</t>
  </si>
  <si>
    <t>Eishalle Cortina;BenvegnuAn;BulovecMi;CusinFe;MarkizetiGr</t>
  </si>
  <si>
    <t>Eishalle Ritten;BajtMi;MoschenAn;MarkizetiGr;MiklicGr</t>
  </si>
  <si>
    <t>Eishalle Cortina;SnojTa;VirtaTu;BrondiMa;MurnikPe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</si>
  <si>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</si>
  <si>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</si>
  <si>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</si>
  <si>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</si>
  <si>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</si>
  <si>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</si>
  <si>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Gröden;GiacomozziFe;SpiegelSe;DivisDo;GrisentiLu</t>
  </si>
  <si>
    <t>Eishalle Cortina;SnojTa;SpiegelSe;MarkizetiGr;StrimitzerDa</t>
  </si>
  <si>
    <t>Eishalle Dornbirn;BenvegnuAn;SpiegelSe;FecchioFe;IlmerNo</t>
  </si>
  <si>
    <t>Eishalle Cortina;RivisFe;WinklerDa;GrisentiLu;RinkerDa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</si>
  <si>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</si>
  <si>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</si>
  <si>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</si>
  <si>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</si>
  <si>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</si>
  <si>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</si>
  <si>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</si>
  <si>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</si>
  <si>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</si>
  <si>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</si>
  <si>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</si>
  <si>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</si>
  <si>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</si>
  <si>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</si>
  <si>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</si>
  <si>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</si>
  <si>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</si>
  <si>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</si>
  <si>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</si>
  <si>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</si>
  <si>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</si>
  <si>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Florian Widmann - Ref ALPS &lt;florianwidmann@gmail.com&gt;,</t>
  </si>
  <si>
    <t>te še niso dubl tekme</t>
  </si>
  <si>
    <t>Blaz Javornik - Ref ALPS &lt;javornik.blaz@gmail.com&gt;,</t>
  </si>
  <si>
    <t>Miha Bajt - Ref ICE - Ref ALPS &lt;miha.bajt@gmail.com&gt;,</t>
  </si>
  <si>
    <t>Nik Bergelj - LM AHL &lt;nik.bergelj@gmail.com&gt;,</t>
  </si>
  <si>
    <t>Simone Soraperra - Ref ALPS &lt;simone.soraperra@gmail.com&gt;,</t>
  </si>
  <si>
    <t>Federico Giacomozzi - Ref ALPS &lt;federico.giacomozzi@gmail.com&gt;,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</si>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</sst>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color rgb="FF222222"/>
      <family val="2"/>
      <sz val="11"/>
      <name val="Arial"/>
    </font>
  </fonts>
  <fills count="1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8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9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4" fillId="0" borderId="0" xfId="0" applyFont="1"/>
    <xf numFmtId="10" fontId="0" fillId="6" borderId="16" xfId="0" applyNumberFormat="1" applyFill="1" applyBorder="1" applyAlignment="1">
      <alignment horizontal="center"/>
    </xf>
    <xf numFmtId="10" fontId="0" fillId="6" borderId="16" xfId="0" applyNumberFormat="1" applyFill="1" applyBorder="1"/>
    <xf numFmtId="1" fontId="4" fillId="6" borderId="16" xfId="0" applyNumberFormat="1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1" fontId="2" fillId="8" borderId="7" xfId="0" applyNumberFormat="1" applyFont="1" applyFill="1" applyBorder="1" applyAlignment="1">
      <alignment horizontal="center"/>
    </xf>
    <xf numFmtId="2" fontId="0" fillId="0" borderId="0" xfId="0" applyNumberFormat="1"/>
    <xf numFmtId="0" fontId="0" fillId="3" borderId="8" xfId="0" applyFill="1" applyBorder="1"/>
    <xf numFmtId="0" fontId="0" fillId="3" borderId="10" xfId="0" applyFill="1" applyBorder="1" applyAlignment="1">
      <alignment horizontal="center"/>
    </xf>
    <xf numFmtId="10" fontId="0" fillId="3" borderId="10" xfId="0" applyNumberFormat="1" applyFill="1" applyBorder="1" applyAlignment="1">
      <alignment horizontal="center"/>
    </xf>
    <xf numFmtId="10" fontId="0" fillId="3" borderId="10" xfId="0" applyNumberFormat="1" applyFill="1" applyBorder="1"/>
    <xf numFmtId="1" fontId="4" fillId="3" borderId="10" xfId="0" applyNumberFormat="1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1" fontId="2" fillId="8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0" borderId="14" xfId="0" applyFill="1" applyBorder="1"/>
    <xf numFmtId="0" fontId="0" fillId="10" borderId="22" xfId="0" applyFill="1" applyBorder="1" applyAlignment="1">
      <alignment horizontal="center"/>
    </xf>
    <xf numFmtId="10" fontId="0" fillId="10" borderId="22" xfId="0" applyNumberFormat="1" applyFill="1" applyBorder="1" applyAlignment="1">
      <alignment horizontal="center"/>
    </xf>
    <xf numFmtId="10" fontId="0" fillId="10" borderId="22" xfId="0" applyNumberFormat="1" applyFill="1" applyBorder="1"/>
    <xf numFmtId="1" fontId="4" fillId="10" borderId="22" xfId="0" applyNumberFormat="1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1" fontId="3" fillId="9" borderId="15" xfId="0" applyNumberFormat="1" applyFont="1" applyFill="1" applyBorder="1" applyAlignment="1">
      <alignment horizontal="center"/>
    </xf>
    <xf numFmtId="0" fontId="0" fillId="11" borderId="0" xfId="0" applyFill="1"/>
    <xf numFmtId="0" fontId="0" fillId="12" borderId="0" xfId="0" applyFill="1"/>
    <xf numFmtId="0" fontId="5" fillId="12" borderId="0" xfId="0" applyFont="1" applyFill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73"/>
  <sheetViews>
    <sheetView workbookViewId="0" zoomScale="100" zoomScaleNormal="100">
      <selection activeCell="M16" sqref="M16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3" customWidth="1"/>
    <col min="32" max="32" width="12.140625" customWidth="1"/>
    <col min="33" max="33" width="13.42578125" customWidth="1"/>
    <col min="34" max="34" width="10.28515625" customWidth="1"/>
    <col min="35" max="35" width="13.5703125" customWidth="1"/>
    <col min="36" max="36" width="10.140625" customWidth="1"/>
    <col min="37" max="37" width="11.140625" customWidth="1"/>
    <col min="38" max="38" width="13.28515625" customWidth="1"/>
    <col min="39" max="39" width="16.85546875" customWidth="1"/>
    <col min="40" max="40" width="10.28515625" customWidth="1"/>
    <col min="41" max="41" width="10.42578125" customWidth="1"/>
    <col min="42" max="42" width="13.28515625" customWidth="1"/>
    <col min="43" max="43" width="10.5703125" customWidth="1"/>
    <col min="44" max="44" width="12.5703125" customWidth="1"/>
    <col min="45" max="45" width="11.85546875" customWidth="1"/>
    <col min="46" max="46" width="10.85546875" customWidth="1"/>
    <col min="47" max="47" width="10.42578125" customWidth="1"/>
    <col min="48" max="48" width="12.5703125" customWidth="1"/>
    <col min="49" max="49" width="11.42578125" customWidth="1"/>
    <col min="50" max="50" width="11.7109375" customWidth="1"/>
    <col min="51" max="51" width="14.42578125" customWidth="1"/>
    <col min="52" max="52" width="11.42578125" customWidth="1"/>
    <col min="53" max="53" width="11.28515625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4" x14ac:dyDescent="0.25">
      <c r="A1">
        <f>COUNTIF(A4:A37,"&lt;&gt;")</f>
        <v>6</v>
      </c>
      <c r="B1">
        <f>COUNTIF(B4:B37,"&lt;&gt;")</f>
        <v>5</v>
      </c>
      <c r="C1">
        <f t="shared" ref="C1:AU1" si="0">COUNTIF(C4:C37,"&lt;&gt;")</f>
        <v>4</v>
      </c>
      <c r="D1">
        <f t="shared" si="0"/>
        <v>4</v>
      </c>
      <c r="E1">
        <f t="shared" si="0"/>
        <v>5</v>
      </c>
      <c r="F1">
        <f t="shared" si="0"/>
        <v>4</v>
      </c>
      <c r="G1">
        <f t="shared" ref="G1:I1" si="1">COUNTIF(G4:G37,"&lt;&gt;")</f>
        <v>4</v>
      </c>
      <c r="H1">
        <f t="shared" si="1"/>
        <v>3</v>
      </c>
      <c r="I1">
        <f t="shared" si="1"/>
        <v>3</v>
      </c>
      <c r="J1">
        <f t="shared" si="0"/>
        <v>4</v>
      </c>
      <c r="K1">
        <f t="shared" si="0"/>
        <v>1</v>
      </c>
      <c r="L1">
        <f t="shared" si="0"/>
        <v>1</v>
      </c>
      <c r="M1">
        <f t="shared" si="0"/>
        <v>5</v>
      </c>
      <c r="N1">
        <f t="shared" si="0"/>
        <v>5</v>
      </c>
      <c r="O1">
        <f t="shared" si="0"/>
        <v>4</v>
      </c>
      <c r="P1">
        <f t="shared" si="0"/>
        <v>7</v>
      </c>
      <c r="Q1">
        <f t="shared" si="0"/>
        <v>5</v>
      </c>
      <c r="R1">
        <f t="shared" si="0"/>
        <v>5</v>
      </c>
      <c r="S1">
        <f>COUNTIF(S4:S36,"&lt;&gt;")</f>
        <v>4</v>
      </c>
      <c r="T1">
        <f t="shared" si="0"/>
        <v>6</v>
      </c>
      <c r="U1">
        <f>COUNTIF(U4:U36,"&lt;&gt;")</f>
        <v>5</v>
      </c>
      <c r="V1">
        <f t="shared" si="0"/>
        <v>5</v>
      </c>
      <c r="W1">
        <f t="shared" si="0"/>
        <v>5</v>
      </c>
      <c r="X1">
        <f t="shared" si="0"/>
        <v>5</v>
      </c>
      <c r="Y1">
        <f t="shared" si="0"/>
        <v>6</v>
      </c>
      <c r="Z1">
        <f>COUNTIF(Z4:Z36,"&lt;&gt;")</f>
        <v>6</v>
      </c>
      <c r="AA1">
        <f t="shared" ref="AA1" si="2">COUNTIF(AA4:AA37,"&lt;&gt;")</f>
        <v>4</v>
      </c>
      <c r="AB1">
        <f t="shared" si="0"/>
        <v>5</v>
      </c>
      <c r="AC1">
        <f t="shared" ref="AC1:AD1" si="3">COUNTIF(AC4:AC37,"&lt;&gt;")</f>
        <v>3</v>
      </c>
      <c r="AD1">
        <f t="shared" si="3"/>
        <v>2</v>
      </c>
      <c r="AE1">
        <f t="shared" si="0"/>
        <v>4</v>
      </c>
      <c r="AF1">
        <f t="shared" si="0"/>
        <v>2</v>
      </c>
      <c r="AG1">
        <f t="shared" si="0"/>
        <v>7</v>
      </c>
      <c r="AH1">
        <f t="shared" si="0"/>
        <v>5</v>
      </c>
      <c r="AI1">
        <f t="shared" si="0"/>
        <v>3</v>
      </c>
      <c r="AJ1">
        <f t="shared" si="0"/>
        <v>5</v>
      </c>
      <c r="AK1">
        <f t="shared" si="0"/>
        <v>4</v>
      </c>
      <c r="AL1">
        <f t="shared" si="0"/>
        <v>4</v>
      </c>
      <c r="AM1">
        <f t="shared" si="0"/>
        <v>4</v>
      </c>
      <c r="AN1">
        <f t="shared" si="0"/>
        <v>4</v>
      </c>
      <c r="AO1">
        <f t="shared" si="0"/>
        <v>5</v>
      </c>
      <c r="AP1">
        <f t="shared" si="0"/>
        <v>6</v>
      </c>
      <c r="AQ1">
        <f t="shared" si="0"/>
        <v>3</v>
      </c>
      <c r="AR1">
        <f t="shared" si="0"/>
        <v>5</v>
      </c>
      <c r="AS1">
        <f t="shared" si="0"/>
        <v>4</v>
      </c>
      <c r="AT1">
        <f t="shared" si="0"/>
        <v>4</v>
      </c>
      <c r="AU1">
        <f t="shared" si="0"/>
        <v>2</v>
      </c>
      <c r="AV1">
        <f t="shared" ref="AV1:AY1" si="4">COUNTIF(AV4:AV37,"&lt;&gt;")</f>
        <v>2</v>
      </c>
      <c r="AW1">
        <f t="shared" si="4"/>
        <v>3</v>
      </c>
      <c r="AX1">
        <f t="shared" si="4"/>
        <v>3</v>
      </c>
      <c r="AY1">
        <f t="shared" si="4"/>
        <v>2</v>
      </c>
      <c r="AZ1">
        <f t="shared" ref="AZ1:BB1" si="5">COUNTIF(AZ4:AZ37,"&lt;&gt;")</f>
        <v>2</v>
      </c>
      <c r="BA1">
        <f t="shared" si="5"/>
        <v>1</v>
      </c>
      <c r="BB1">
        <f t="shared" si="5"/>
        <v>1</v>
      </c>
    </row>
    <row r="2" ht="14.45" customHeight="1" spans="1:54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3" t="s">
        <v>2</v>
      </c>
      <c r="AG2" s="3" t="s">
        <v>2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</row>
    <row r="3" ht="15" customHeight="1" spans="1:55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</row>
    <row r="4" ht="15" customHeight="1" spans="1:54" x14ac:dyDescent="0.25">
      <c r="A4" t="s">
        <v>57</v>
      </c>
      <c r="B4" t="s">
        <v>58</v>
      </c>
      <c r="C4" t="s">
        <v>58</v>
      </c>
      <c r="D4" t="s">
        <v>58</v>
      </c>
      <c r="E4" t="s">
        <v>57</v>
      </c>
      <c r="F4" t="s">
        <v>58</v>
      </c>
      <c r="G4" t="s">
        <v>59</v>
      </c>
      <c r="H4" t="s">
        <v>59</v>
      </c>
      <c r="I4" t="s">
        <v>59</v>
      </c>
      <c r="J4" t="s">
        <v>58</v>
      </c>
      <c r="K4" t="s">
        <v>60</v>
      </c>
      <c r="L4" t="s">
        <v>61</v>
      </c>
      <c r="M4" t="s">
        <v>62</v>
      </c>
      <c r="N4" t="s">
        <v>62</v>
      </c>
      <c r="O4" t="s">
        <v>62</v>
      </c>
      <c r="P4" t="s">
        <v>62</v>
      </c>
      <c r="Q4" t="s">
        <v>62</v>
      </c>
      <c r="R4" t="s">
        <v>62</v>
      </c>
      <c r="S4" t="s">
        <v>62</v>
      </c>
      <c r="T4" t="s">
        <v>62</v>
      </c>
      <c r="U4" t="s">
        <v>63</v>
      </c>
      <c r="V4" t="s">
        <v>63</v>
      </c>
      <c r="W4" t="s">
        <v>63</v>
      </c>
      <c r="X4" t="s">
        <v>62</v>
      </c>
      <c r="Y4" t="s">
        <v>62</v>
      </c>
      <c r="Z4" t="s">
        <v>62</v>
      </c>
      <c r="AA4" t="s">
        <v>59</v>
      </c>
      <c r="AB4" t="s">
        <v>63</v>
      </c>
      <c r="AC4" t="s">
        <v>64</v>
      </c>
      <c r="AD4" t="s">
        <v>64</v>
      </c>
      <c r="AE4" t="s">
        <v>62</v>
      </c>
      <c r="AF4" t="s">
        <v>62</v>
      </c>
      <c r="AG4" t="s">
        <v>62</v>
      </c>
      <c r="AH4" t="s">
        <v>62</v>
      </c>
      <c r="AI4" t="s">
        <v>62</v>
      </c>
      <c r="AJ4" t="s">
        <v>62</v>
      </c>
      <c r="AK4" t="s">
        <v>62</v>
      </c>
      <c r="AL4" t="s">
        <v>62</v>
      </c>
      <c r="AM4" t="s">
        <v>62</v>
      </c>
      <c r="AN4" t="s">
        <v>57</v>
      </c>
      <c r="AO4" t="s">
        <v>57</v>
      </c>
      <c r="AP4" t="s">
        <v>58</v>
      </c>
      <c r="AQ4" t="s">
        <v>58</v>
      </c>
      <c r="AR4" t="s">
        <v>58</v>
      </c>
      <c r="AS4" t="s">
        <v>65</v>
      </c>
      <c r="AT4" t="s">
        <v>65</v>
      </c>
      <c r="AU4" t="s">
        <v>65</v>
      </c>
      <c r="AV4" t="s">
        <v>66</v>
      </c>
      <c r="AW4" t="s">
        <v>66</v>
      </c>
      <c r="AX4" t="s">
        <v>66</v>
      </c>
      <c r="AY4" t="s">
        <v>66</v>
      </c>
      <c r="AZ4" t="s">
        <v>67</v>
      </c>
      <c r="BA4" t="s">
        <v>60</v>
      </c>
      <c r="BB4" t="s">
        <v>61</v>
      </c>
    </row>
    <row r="5" ht="15" customHeight="1" spans="1:54" x14ac:dyDescent="0.25">
      <c r="A5" t="s">
        <v>59</v>
      </c>
      <c r="B5" t="s">
        <v>65</v>
      </c>
      <c r="C5" t="s">
        <v>65</v>
      </c>
      <c r="D5" t="s">
        <v>65</v>
      </c>
      <c r="E5" t="s">
        <v>58</v>
      </c>
      <c r="F5" t="s">
        <v>65</v>
      </c>
      <c r="G5" t="s">
        <v>66</v>
      </c>
      <c r="H5" t="s">
        <v>66</v>
      </c>
      <c r="I5" t="s">
        <v>66</v>
      </c>
      <c r="J5" t="s">
        <v>65</v>
      </c>
      <c r="M5" t="s">
        <v>58</v>
      </c>
      <c r="N5" t="s">
        <v>65</v>
      </c>
      <c r="O5" t="s">
        <v>58</v>
      </c>
      <c r="P5" t="s">
        <v>65</v>
      </c>
      <c r="Q5" t="s">
        <v>58</v>
      </c>
      <c r="R5" t="s">
        <v>58</v>
      </c>
      <c r="S5" t="s">
        <v>59</v>
      </c>
      <c r="T5" t="s">
        <v>65</v>
      </c>
      <c r="U5" t="s">
        <v>59</v>
      </c>
      <c r="V5" t="s">
        <v>58</v>
      </c>
      <c r="W5" t="s">
        <v>65</v>
      </c>
      <c r="X5" t="s">
        <v>58</v>
      </c>
      <c r="Y5" t="s">
        <v>65</v>
      </c>
      <c r="Z5" t="s">
        <v>65</v>
      </c>
      <c r="AA5" t="s">
        <v>66</v>
      </c>
      <c r="AB5" t="s">
        <v>58</v>
      </c>
      <c r="AC5" t="s">
        <v>68</v>
      </c>
      <c r="AD5" t="s">
        <v>68</v>
      </c>
      <c r="AE5" t="s">
        <v>58</v>
      </c>
      <c r="AF5" t="s">
        <v>58</v>
      </c>
      <c r="AG5" t="s">
        <v>58</v>
      </c>
      <c r="AH5" t="s">
        <v>69</v>
      </c>
      <c r="AI5" t="s">
        <v>67</v>
      </c>
      <c r="AJ5" t="s">
        <v>65</v>
      </c>
      <c r="AK5" t="s">
        <v>58</v>
      </c>
      <c r="AL5" t="s">
        <v>58</v>
      </c>
      <c r="AM5" t="s">
        <v>58</v>
      </c>
      <c r="AN5" t="s">
        <v>66</v>
      </c>
      <c r="AO5" t="s">
        <v>65</v>
      </c>
      <c r="AP5" t="s">
        <v>65</v>
      </c>
      <c r="AQ5" t="s">
        <v>65</v>
      </c>
      <c r="AR5" t="s">
        <v>65</v>
      </c>
      <c r="AS5" t="s">
        <v>66</v>
      </c>
      <c r="AT5" t="s">
        <v>69</v>
      </c>
      <c r="AU5" t="s">
        <v>60</v>
      </c>
      <c r="AV5" t="s">
        <v>67</v>
      </c>
      <c r="AW5" t="s">
        <v>67</v>
      </c>
      <c r="AX5" t="s">
        <v>64</v>
      </c>
      <c r="AY5" t="s">
        <v>64</v>
      </c>
      <c r="AZ5" t="s">
        <v>60</v>
      </c>
    </row>
    <row r="6" ht="15" customHeight="1" spans="1:52" x14ac:dyDescent="0.25">
      <c r="A6" t="s">
        <v>66</v>
      </c>
      <c r="B6" t="s">
        <v>59</v>
      </c>
      <c r="C6" t="s">
        <v>59</v>
      </c>
      <c r="D6" t="s">
        <v>59</v>
      </c>
      <c r="E6" t="s">
        <v>65</v>
      </c>
      <c r="F6" t="s">
        <v>66</v>
      </c>
      <c r="G6" t="s">
        <v>64</v>
      </c>
      <c r="H6" t="s">
        <v>70</v>
      </c>
      <c r="I6" t="s">
        <v>61</v>
      </c>
      <c r="J6" t="s">
        <v>67</v>
      </c>
      <c r="M6" t="s">
        <v>66</v>
      </c>
      <c r="N6" t="s">
        <v>59</v>
      </c>
      <c r="O6" t="s">
        <v>59</v>
      </c>
      <c r="P6" t="s">
        <v>59</v>
      </c>
      <c r="Q6" t="s">
        <v>59</v>
      </c>
      <c r="R6" t="s">
        <v>66</v>
      </c>
      <c r="S6" t="s">
        <v>67</v>
      </c>
      <c r="T6" t="s">
        <v>59</v>
      </c>
      <c r="U6" t="s">
        <v>58</v>
      </c>
      <c r="V6" t="s">
        <v>66</v>
      </c>
      <c r="W6" t="s">
        <v>66</v>
      </c>
      <c r="X6" t="s">
        <v>66</v>
      </c>
      <c r="Y6" t="s">
        <v>66</v>
      </c>
      <c r="Z6" t="s">
        <v>66</v>
      </c>
      <c r="AA6" t="s">
        <v>68</v>
      </c>
      <c r="AB6" t="s">
        <v>59</v>
      </c>
      <c r="AC6" t="s">
        <v>61</v>
      </c>
      <c r="AE6" t="s">
        <v>59</v>
      </c>
      <c r="AG6" t="s">
        <v>69</v>
      </c>
      <c r="AH6" t="s">
        <v>67</v>
      </c>
      <c r="AI6" t="s">
        <v>61</v>
      </c>
      <c r="AJ6" t="s">
        <v>59</v>
      </c>
      <c r="AK6" t="s">
        <v>64</v>
      </c>
      <c r="AL6" t="s">
        <v>70</v>
      </c>
      <c r="AM6" t="s">
        <v>67</v>
      </c>
      <c r="AN6" t="s">
        <v>64</v>
      </c>
      <c r="AO6" t="s">
        <v>66</v>
      </c>
      <c r="AP6" t="s">
        <v>69</v>
      </c>
      <c r="AQ6" t="s">
        <v>70</v>
      </c>
      <c r="AR6" t="s">
        <v>66</v>
      </c>
      <c r="AS6" t="s">
        <v>64</v>
      </c>
      <c r="AT6" t="s">
        <v>67</v>
      </c>
      <c r="AW6" t="s">
        <v>71</v>
      </c>
      <c r="AX6" t="s">
        <v>61</v>
      </c>
    </row>
    <row r="7" ht="15" customHeight="1" spans="1:50" x14ac:dyDescent="0.25">
      <c r="A7" t="s">
        <v>64</v>
      </c>
      <c r="B7" t="s">
        <v>70</v>
      </c>
      <c r="C7" t="s">
        <v>64</v>
      </c>
      <c r="D7" t="s">
        <v>64</v>
      </c>
      <c r="E7" t="s">
        <v>59</v>
      </c>
      <c r="F7" t="s">
        <v>64</v>
      </c>
      <c r="G7" t="s">
        <v>61</v>
      </c>
      <c r="J7" t="s">
        <v>60</v>
      </c>
      <c r="M7" t="s">
        <v>70</v>
      </c>
      <c r="N7" t="s">
        <v>64</v>
      </c>
      <c r="O7" t="s">
        <v>64</v>
      </c>
      <c r="P7" t="s">
        <v>66</v>
      </c>
      <c r="Q7" t="s">
        <v>68</v>
      </c>
      <c r="R7" t="s">
        <v>70</v>
      </c>
      <c r="S7" t="s">
        <v>61</v>
      </c>
      <c r="T7" t="s">
        <v>66</v>
      </c>
      <c r="U7" t="s">
        <v>64</v>
      </c>
      <c r="V7" t="s">
        <v>64</v>
      </c>
      <c r="W7" t="s">
        <v>67</v>
      </c>
      <c r="X7" t="s">
        <v>64</v>
      </c>
      <c r="Y7" t="s">
        <v>64</v>
      </c>
      <c r="Z7" t="s">
        <v>64</v>
      </c>
      <c r="AA7" t="s">
        <v>60</v>
      </c>
      <c r="AB7" t="s">
        <v>66</v>
      </c>
      <c r="AE7" t="s">
        <v>60</v>
      </c>
      <c r="AG7" t="s">
        <v>59</v>
      </c>
      <c r="AH7" t="s">
        <v>60</v>
      </c>
      <c r="AJ7" t="s">
        <v>64</v>
      </c>
      <c r="AK7" t="s">
        <v>67</v>
      </c>
      <c r="AL7" t="s">
        <v>60</v>
      </c>
      <c r="AM7" t="s">
        <v>71</v>
      </c>
      <c r="AN7" t="s">
        <v>61</v>
      </c>
      <c r="AO7" t="s">
        <v>64</v>
      </c>
      <c r="AP7" t="s">
        <v>64</v>
      </c>
      <c r="AR7" t="s">
        <v>67</v>
      </c>
      <c r="AS7" t="s">
        <v>61</v>
      </c>
      <c r="AT7" t="s">
        <v>60</v>
      </c>
    </row>
    <row r="8" ht="15" customHeight="1" spans="1:46" x14ac:dyDescent="0.25">
      <c r="A8" t="s">
        <v>67</v>
      </c>
      <c r="B8" t="s">
        <v>61</v>
      </c>
      <c r="E8" t="s">
        <v>60</v>
      </c>
      <c r="M8" t="s">
        <v>60</v>
      </c>
      <c r="N8" t="s">
        <v>68</v>
      </c>
      <c r="P8" t="s">
        <v>58</v>
      </c>
      <c r="Q8" t="s">
        <v>60</v>
      </c>
      <c r="R8" t="s">
        <v>61</v>
      </c>
      <c r="T8" t="s">
        <v>70</v>
      </c>
      <c r="U8" t="s">
        <v>61</v>
      </c>
      <c r="V8" t="s">
        <v>61</v>
      </c>
      <c r="W8" t="s">
        <v>60</v>
      </c>
      <c r="X8" t="s">
        <v>68</v>
      </c>
      <c r="Y8" t="s">
        <v>68</v>
      </c>
      <c r="Z8" t="s">
        <v>68</v>
      </c>
      <c r="AB8" t="s">
        <v>64</v>
      </c>
      <c r="AG8" t="s">
        <v>64</v>
      </c>
      <c r="AH8" t="s">
        <v>61</v>
      </c>
      <c r="AJ8" t="s">
        <v>67</v>
      </c>
      <c r="AO8" t="s">
        <v>60</v>
      </c>
      <c r="AP8" t="s">
        <v>67</v>
      </c>
      <c r="AR8" t="s">
        <v>61</v>
      </c>
    </row>
    <row r="9" ht="15" customHeight="1" spans="1:44" x14ac:dyDescent="0.25">
      <c r="A9" t="s">
        <v>61</v>
      </c>
      <c r="P9" t="s">
        <v>70</v>
      </c>
      <c r="T9" t="s">
        <v>60</v>
      </c>
      <c r="Y9" t="s">
        <v>61</v>
      </c>
      <c r="Z9" t="s">
        <v>61</v>
      </c>
      <c r="AG9" t="s">
        <v>67</v>
      </c>
      <c r="AP9" t="s">
        <v>71</v>
      </c>
    </row>
    <row r="10" ht="15" customHeight="1" spans="1:42" x14ac:dyDescent="0.25">
      <c r="P10" t="s">
        <v>61</v>
      </c>
      <c r="AG10" t="s">
        <v>71</v>
      </c>
    </row>
    <row r="11" ht="15" customHeight="1" spans="16:33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BR4:XFD32">
    <cfRule type="expression" dxfId="0" priority="6">
      <formula>BR4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15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ht="15" customHeight="1" spans="1:15" x14ac:dyDescent="0.25">
      <c r="A4" t="s">
        <v>15</v>
      </c>
      <c r="B4" t="s">
        <v>25</v>
      </c>
      <c r="C4" t="s">
        <v>3</v>
      </c>
      <c r="D4" t="s">
        <v>15</v>
      </c>
      <c r="E4" t="s">
        <v>47</v>
      </c>
      <c r="F4" t="s">
        <v>48</v>
      </c>
      <c r="G4" t="s">
        <v>9</v>
      </c>
      <c r="H4" t="s">
        <v>3</v>
      </c>
      <c r="I4" t="s">
        <v>40</v>
      </c>
      <c r="J4" t="s">
        <v>9</v>
      </c>
      <c r="K4" t="s">
        <v>31</v>
      </c>
      <c r="L4" t="s">
        <v>50</v>
      </c>
      <c r="M4" t="s">
        <v>48</v>
      </c>
      <c r="N4" t="s">
        <v>3</v>
      </c>
      <c r="O4" t="s">
        <v>51</v>
      </c>
    </row>
    <row r="5" ht="15" customHeight="1" spans="1:15" x14ac:dyDescent="0.25">
      <c r="A5" t="s">
        <v>16</v>
      </c>
      <c r="B5" t="s">
        <v>24</v>
      </c>
      <c r="C5" t="s">
        <v>42</v>
      </c>
      <c r="D5" t="s">
        <v>19</v>
      </c>
      <c r="E5" t="s">
        <v>46</v>
      </c>
      <c r="F5" t="s">
        <v>35</v>
      </c>
      <c r="G5" t="s">
        <v>4</v>
      </c>
      <c r="H5" t="s">
        <v>27</v>
      </c>
      <c r="I5" t="s">
        <v>4</v>
      </c>
      <c r="J5" t="s">
        <v>42</v>
      </c>
      <c r="K5" t="s">
        <v>27</v>
      </c>
      <c r="L5" t="s">
        <v>51</v>
      </c>
      <c r="M5" t="s">
        <v>55</v>
      </c>
      <c r="N5" t="s">
        <v>9</v>
      </c>
      <c r="O5" t="s">
        <v>35</v>
      </c>
    </row>
    <row r="6" ht="15" customHeight="1" spans="1:15" x14ac:dyDescent="0.25">
      <c r="A6" t="s">
        <v>17</v>
      </c>
      <c r="B6" t="s">
        <v>23</v>
      </c>
      <c r="C6" t="s">
        <v>7</v>
      </c>
      <c r="D6" t="s">
        <v>18</v>
      </c>
      <c r="E6" t="s">
        <v>44</v>
      </c>
      <c r="F6" t="s">
        <v>36</v>
      </c>
      <c r="G6" t="s">
        <v>7</v>
      </c>
      <c r="H6" t="s">
        <v>10</v>
      </c>
      <c r="I6" t="s">
        <v>10</v>
      </c>
      <c r="J6" t="s">
        <v>52</v>
      </c>
      <c r="K6" t="s">
        <v>29</v>
      </c>
      <c r="L6" t="s">
        <v>41</v>
      </c>
      <c r="M6" t="s">
        <v>36</v>
      </c>
      <c r="N6" t="s">
        <v>14</v>
      </c>
      <c r="O6" t="s">
        <v>41</v>
      </c>
    </row>
    <row r="7" ht="15" customHeight="1" spans="1:15" x14ac:dyDescent="0.25">
      <c r="A7" t="s">
        <v>18</v>
      </c>
      <c r="B7" t="s">
        <v>30</v>
      </c>
      <c r="C7" t="s">
        <v>43</v>
      </c>
      <c r="D7" t="s">
        <v>26</v>
      </c>
      <c r="E7" t="s">
        <v>43</v>
      </c>
      <c r="F7" t="s">
        <v>44</v>
      </c>
      <c r="G7" t="s">
        <v>11</v>
      </c>
      <c r="H7" t="s">
        <v>18</v>
      </c>
      <c r="I7" t="s">
        <v>45</v>
      </c>
      <c r="J7" t="s">
        <v>43</v>
      </c>
      <c r="K7" t="s">
        <v>32</v>
      </c>
      <c r="L7" t="s">
        <v>37</v>
      </c>
      <c r="M7" t="s">
        <v>43</v>
      </c>
      <c r="N7" t="s">
        <v>56</v>
      </c>
      <c r="O7" t="s">
        <v>44</v>
      </c>
    </row>
    <row r="8" ht="15" customHeight="1" spans="1:15" x14ac:dyDescent="0.25">
      <c r="A8" t="s">
        <v>19</v>
      </c>
      <c r="D8" t="s">
        <v>5</v>
      </c>
      <c r="E8" t="s">
        <v>48</v>
      </c>
      <c r="G8" t="s">
        <v>38</v>
      </c>
      <c r="H8" t="s">
        <v>50</v>
      </c>
      <c r="I8" t="s">
        <v>15</v>
      </c>
      <c r="J8" t="s">
        <v>31</v>
      </c>
      <c r="K8" t="s">
        <v>19</v>
      </c>
      <c r="L8" t="s">
        <v>38</v>
      </c>
      <c r="M8" t="s">
        <v>25</v>
      </c>
      <c r="N8" t="s">
        <v>47</v>
      </c>
    </row>
    <row r="9" ht="15" customHeight="1" spans="1:14" x14ac:dyDescent="0.25">
      <c r="A9" t="s">
        <v>20</v>
      </c>
      <c r="D9" t="s">
        <v>6</v>
      </c>
      <c r="E9" t="s">
        <v>38</v>
      </c>
      <c r="G9" t="s">
        <v>35</v>
      </c>
      <c r="H9" t="s">
        <v>51</v>
      </c>
      <c r="I9" t="s">
        <v>20</v>
      </c>
      <c r="J9" t="s">
        <v>16</v>
      </c>
      <c r="K9" t="s">
        <v>16</v>
      </c>
      <c r="L9" t="s">
        <v>46</v>
      </c>
      <c r="M9" t="s">
        <v>19</v>
      </c>
      <c r="N9" t="s">
        <v>42</v>
      </c>
    </row>
    <row r="10" ht="15" customHeight="1" spans="1:14" x14ac:dyDescent="0.25">
      <c r="A10" t="s">
        <v>21</v>
      </c>
      <c r="D10" t="s">
        <v>8</v>
      </c>
      <c r="E10" t="s">
        <v>49</v>
      </c>
      <c r="G10" t="s">
        <v>23</v>
      </c>
      <c r="H10" t="s">
        <v>52</v>
      </c>
      <c r="I10" t="s">
        <v>18</v>
      </c>
      <c r="J10" t="s">
        <v>23</v>
      </c>
      <c r="K10" t="s">
        <v>28</v>
      </c>
      <c r="L10" t="s">
        <v>44</v>
      </c>
      <c r="M10" t="s">
        <v>29</v>
      </c>
      <c r="N10" t="s">
        <v>52</v>
      </c>
    </row>
    <row r="11" ht="15" customHeight="1" spans="1:14" x14ac:dyDescent="0.25">
      <c r="A11" t="s">
        <v>22</v>
      </c>
      <c r="D11" t="s">
        <v>7</v>
      </c>
      <c r="E11" t="s">
        <v>45</v>
      </c>
      <c r="G11" t="s">
        <v>18</v>
      </c>
      <c r="H11" t="s">
        <v>11</v>
      </c>
      <c r="I11" t="s">
        <v>22</v>
      </c>
      <c r="J11" t="s">
        <v>32</v>
      </c>
      <c r="K11" t="s">
        <v>26</v>
      </c>
      <c r="L11" t="s">
        <v>54</v>
      </c>
      <c r="M11" t="s">
        <v>54</v>
      </c>
      <c r="N11" t="s">
        <v>37</v>
      </c>
    </row>
    <row r="12" ht="15" customHeight="1" spans="1:14" x14ac:dyDescent="0.25">
      <c r="A12" t="s">
        <v>34</v>
      </c>
      <c r="D12" t="s">
        <v>20</v>
      </c>
      <c r="E12" t="s">
        <v>6</v>
      </c>
      <c r="G12" t="s">
        <v>3</v>
      </c>
      <c r="H12" t="s">
        <v>47</v>
      </c>
      <c r="J12" t="s">
        <v>5</v>
      </c>
      <c r="L12" t="s">
        <v>48</v>
      </c>
      <c r="M12" t="s">
        <v>40</v>
      </c>
      <c r="N12" t="s">
        <v>27</v>
      </c>
    </row>
    <row r="13" ht="15" customHeight="1" spans="1:14" x14ac:dyDescent="0.25">
      <c r="A13" t="s">
        <v>35</v>
      </c>
      <c r="D13" t="s">
        <v>35</v>
      </c>
      <c r="E13" t="s">
        <v>4</v>
      </c>
      <c r="G13" t="s">
        <v>6</v>
      </c>
      <c r="H13" t="s">
        <v>42</v>
      </c>
      <c r="J13" t="s">
        <v>47</v>
      </c>
      <c r="L13" t="s">
        <v>35</v>
      </c>
      <c r="M13" t="s">
        <v>33</v>
      </c>
      <c r="N13" t="s">
        <v>24</v>
      </c>
    </row>
    <row r="14" ht="15" customHeight="1" spans="1:14" x14ac:dyDescent="0.25">
      <c r="A14" t="s">
        <v>36</v>
      </c>
      <c r="D14" t="s">
        <v>17</v>
      </c>
      <c r="E14" t="s">
        <v>12</v>
      </c>
      <c r="G14" t="s">
        <v>17</v>
      </c>
      <c r="H14" t="s">
        <v>43</v>
      </c>
      <c r="J14" t="s">
        <v>8</v>
      </c>
      <c r="L14" t="s">
        <v>36</v>
      </c>
      <c r="M14" t="s">
        <v>22</v>
      </c>
      <c r="N14" t="s">
        <v>18</v>
      </c>
    </row>
    <row r="15" ht="15" customHeight="1" spans="1:14" x14ac:dyDescent="0.25">
      <c r="A15" t="s">
        <v>37</v>
      </c>
      <c r="D15" t="s">
        <v>44</v>
      </c>
      <c r="E15" t="s">
        <v>7</v>
      </c>
      <c r="G15" t="s">
        <v>29</v>
      </c>
      <c r="H15" t="s">
        <v>53</v>
      </c>
      <c r="J15" t="s">
        <v>39</v>
      </c>
      <c r="L15" t="s">
        <v>39</v>
      </c>
      <c r="M15" t="s">
        <v>49</v>
      </c>
      <c r="N15" t="s">
        <v>21</v>
      </c>
    </row>
    <row r="16" ht="15" customHeight="1" spans="1:14" x14ac:dyDescent="0.25">
      <c r="A16" t="s">
        <v>38</v>
      </c>
      <c r="D16" t="s">
        <v>40</v>
      </c>
      <c r="E16" t="s">
        <v>5</v>
      </c>
      <c r="G16" t="s">
        <v>19</v>
      </c>
      <c r="H16" t="s">
        <v>9</v>
      </c>
      <c r="J16" t="s">
        <v>38</v>
      </c>
      <c r="L16" t="s">
        <v>25</v>
      </c>
      <c r="M16" t="s">
        <v>13</v>
      </c>
      <c r="N16" t="s">
        <v>4</v>
      </c>
    </row>
    <row r="17" ht="15" customHeight="1" spans="1:14" x14ac:dyDescent="0.25">
      <c r="A17" t="s">
        <v>33</v>
      </c>
      <c r="D17" t="s">
        <v>34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20</v>
      </c>
    </row>
    <row r="18" ht="15" customHeight="1" spans="1:14" x14ac:dyDescent="0.25">
      <c r="A18" t="s">
        <v>26</v>
      </c>
      <c r="D18" t="s">
        <v>41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23</v>
      </c>
    </row>
    <row r="19" ht="15" customHeight="1" spans="1:14" x14ac:dyDescent="0.25">
      <c r="A19" t="s">
        <v>39</v>
      </c>
      <c r="D19" t="s">
        <v>45</v>
      </c>
      <c r="E19" t="s">
        <v>8</v>
      </c>
      <c r="G19" t="s">
        <v>30</v>
      </c>
      <c r="H19" t="s">
        <v>8</v>
      </c>
      <c r="J19" t="s">
        <v>53</v>
      </c>
      <c r="L19" t="s">
        <v>12</v>
      </c>
      <c r="M19" t="s">
        <v>7</v>
      </c>
      <c r="N19" t="s">
        <v>11</v>
      </c>
    </row>
    <row r="20" ht="15" customHeight="1" spans="1:14" x14ac:dyDescent="0.25">
      <c r="A20" t="s">
        <v>40</v>
      </c>
      <c r="D20" t="s">
        <v>33</v>
      </c>
      <c r="E20" t="s">
        <v>25</v>
      </c>
      <c r="G20" t="s">
        <v>5</v>
      </c>
      <c r="H20" t="s">
        <v>24</v>
      </c>
      <c r="J20" t="s">
        <v>3</v>
      </c>
      <c r="N20" t="s">
        <v>31</v>
      </c>
    </row>
    <row r="21" ht="15" customHeight="1" spans="1:14" x14ac:dyDescent="0.25">
      <c r="A21" t="s">
        <v>27</v>
      </c>
      <c r="D21" t="s">
        <v>24</v>
      </c>
      <c r="E21" t="s">
        <v>16</v>
      </c>
      <c r="G21" t="s">
        <v>33</v>
      </c>
      <c r="H21" t="s">
        <v>20</v>
      </c>
      <c r="J21" t="s">
        <v>6</v>
      </c>
      <c r="N21" t="s">
        <v>46</v>
      </c>
    </row>
    <row r="22" ht="15" customHeight="1" spans="1:14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36</v>
      </c>
    </row>
    <row r="23" ht="15" customHeight="1" spans="1:14" x14ac:dyDescent="0.25">
      <c r="A23" t="s">
        <v>41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28</v>
      </c>
    </row>
    <row r="24" ht="15" customHeight="1" spans="1:14" x14ac:dyDescent="0.25">
      <c r="D24" t="s">
        <v>4</v>
      </c>
      <c r="H24" t="s">
        <v>25</v>
      </c>
      <c r="J24" t="s">
        <v>24</v>
      </c>
    </row>
    <row r="25" ht="15" customHeight="1" spans="4:10" x14ac:dyDescent="0.25">
      <c r="D25" t="s">
        <v>46</v>
      </c>
      <c r="H25" t="s">
        <v>46</v>
      </c>
      <c r="J25" t="s">
        <v>35</v>
      </c>
    </row>
    <row r="26" ht="15" customHeight="1" spans="4:10" x14ac:dyDescent="0.25">
      <c r="D26" t="s">
        <v>12</v>
      </c>
      <c r="H26" t="s">
        <v>22</v>
      </c>
      <c r="J26" t="s">
        <v>28</v>
      </c>
    </row>
    <row r="27" ht="15" customHeight="1" spans="4:10" x14ac:dyDescent="0.25">
      <c r="D27" t="s">
        <v>39</v>
      </c>
      <c r="H27" t="s">
        <v>26</v>
      </c>
      <c r="J27" t="s">
        <v>44</v>
      </c>
    </row>
    <row r="28" ht="15" customHeight="1" spans="4:10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14"/>
  <sheetViews>
    <sheetView workbookViewId="0" zoomScale="96" zoomScaleNormal="96">
      <selection activeCell="CW26" sqref="CW2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15" x14ac:dyDescent="0.25">
      <c r="A3" t="s">
        <v>62</v>
      </c>
      <c r="B3" t="s">
        <v>63</v>
      </c>
      <c r="C3" t="s">
        <v>57</v>
      </c>
      <c r="D3" t="s">
        <v>58</v>
      </c>
      <c r="E3" t="s">
        <v>65</v>
      </c>
      <c r="F3" t="s">
        <v>69</v>
      </c>
      <c r="G3" t="s">
        <v>59</v>
      </c>
      <c r="H3" t="s">
        <v>66</v>
      </c>
      <c r="I3" t="s">
        <v>70</v>
      </c>
      <c r="J3" t="s">
        <v>64</v>
      </c>
      <c r="K3" t="s">
        <v>68</v>
      </c>
      <c r="L3" t="s">
        <v>67</v>
      </c>
      <c r="M3" t="s">
        <v>60</v>
      </c>
      <c r="N3" t="s">
        <v>61</v>
      </c>
      <c r="O3" t="s">
        <v>71</v>
      </c>
    </row>
    <row r="4" ht="15" customHeight="1" spans="1:15" x14ac:dyDescent="0.25">
      <c r="A4" t="s">
        <v>72</v>
      </c>
      <c r="B4" t="s">
        <v>73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ht="15" customHeight="1" spans="1:15" x14ac:dyDescent="0.25">
      <c r="A5" t="s">
        <v>87</v>
      </c>
      <c r="D5" t="s">
        <v>88</v>
      </c>
      <c r="E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</row>
    <row r="6" ht="15" customHeight="1" spans="1:14" x14ac:dyDescent="0.25">
      <c r="A6" t="s">
        <v>98</v>
      </c>
      <c r="D6" t="s">
        <v>99</v>
      </c>
      <c r="E6" t="s">
        <v>100</v>
      </c>
      <c r="G6" t="s">
        <v>101</v>
      </c>
      <c r="H6" t="s">
        <v>102</v>
      </c>
      <c r="J6" t="s">
        <v>103</v>
      </c>
      <c r="L6" t="s">
        <v>104</v>
      </c>
      <c r="M6" t="s">
        <v>105</v>
      </c>
      <c r="N6" t="s">
        <v>106</v>
      </c>
    </row>
    <row r="7" ht="15" customHeight="1" spans="1:14" x14ac:dyDescent="0.25">
      <c r="A7" t="s">
        <v>107</v>
      </c>
      <c r="D7" t="s">
        <v>108</v>
      </c>
      <c r="E7" t="s">
        <v>109</v>
      </c>
      <c r="G7" t="s">
        <v>110</v>
      </c>
      <c r="H7" t="s">
        <v>111</v>
      </c>
      <c r="J7" t="s">
        <v>112</v>
      </c>
      <c r="L7" t="s">
        <v>113</v>
      </c>
      <c r="M7" t="s">
        <v>114</v>
      </c>
      <c r="N7" t="s">
        <v>115</v>
      </c>
    </row>
    <row r="8" ht="15" customHeight="1" spans="1:14" x14ac:dyDescent="0.25">
      <c r="A8" t="s">
        <v>116</v>
      </c>
      <c r="D8" t="s">
        <v>117</v>
      </c>
      <c r="E8" t="s">
        <v>118</v>
      </c>
      <c r="G8" t="s">
        <v>119</v>
      </c>
      <c r="H8" t="s">
        <v>120</v>
      </c>
      <c r="J8" t="s">
        <v>121</v>
      </c>
      <c r="N8" t="s">
        <v>122</v>
      </c>
    </row>
    <row r="9" ht="15" customHeight="1" spans="1:14" x14ac:dyDescent="0.25">
      <c r="D9" t="s">
        <v>123</v>
      </c>
      <c r="H9" t="s">
        <v>124</v>
      </c>
      <c r="J9" t="s">
        <v>125</v>
      </c>
    </row>
    <row r="10" ht="15" customHeight="1" spans="4:10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E27" sqref="E27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126</v>
      </c>
      <c r="B1" s="5"/>
      <c r="C1" s="6">
        <f>COUNTIF(AHL_DAT_STRING!4:18,"&lt;&gt;")</f>
        <v>54</v>
      </c>
    </row>
    <row r="2" ht="15.75" customHeight="1" spans="1:3" x14ac:dyDescent="0.25">
      <c r="A2" s="7" t="s">
        <v>127</v>
      </c>
      <c r="B2" s="8"/>
      <c r="C2" s="9">
        <f>C1*4</f>
        <v>216</v>
      </c>
    </row>
    <row r="3" spans="1:8" x14ac:dyDescent="0.25">
      <c r="A3" s="10" t="s">
        <v>127</v>
      </c>
      <c r="B3" s="11">
        <f>COUNTIF(AHL!4:50, "&lt;&gt;")</f>
        <v>216</v>
      </c>
      <c r="E3" s="12" t="s">
        <v>128</v>
      </c>
      <c r="F3" s="8"/>
      <c r="G3" s="8"/>
      <c r="H3" s="8"/>
    </row>
    <row r="4" ht="15.75" customHeight="1" spans="1:12" x14ac:dyDescent="0.25">
      <c r="A4" s="13" t="s">
        <v>129</v>
      </c>
      <c r="B4" s="14">
        <f>SUMIF(AHL!2:2,"sl",AHL!1:1)</f>
        <v>44</v>
      </c>
      <c r="C4">
        <f>AHL!AF1</f>
        <v>2</v>
      </c>
      <c r="E4" t="s">
        <v>130</v>
      </c>
      <c r="F4" t="s">
        <v>131</v>
      </c>
      <c r="G4" t="s">
        <v>132</v>
      </c>
      <c r="H4" t="s">
        <v>133</v>
      </c>
      <c r="I4" t="s">
        <v>134</v>
      </c>
      <c r="J4" t="s">
        <v>135</v>
      </c>
      <c r="K4" t="s">
        <v>136</v>
      </c>
      <c r="L4" t="s">
        <v>137</v>
      </c>
    </row>
    <row r="5" ht="15.75" customHeight="1" spans="1:12" x14ac:dyDescent="0.25">
      <c r="A5" s="13" t="s">
        <v>138</v>
      </c>
      <c r="B5" s="14">
        <f>SUMIF(AHL!2:2,"hr",AHL!1:1)</f>
        <v>0</v>
      </c>
      <c r="E5" s="15" t="s">
        <v>129</v>
      </c>
      <c r="F5" s="16">
        <v>1</v>
      </c>
      <c r="G5" s="17">
        <f>F5/13</f>
        <v>0.07692307692307693</v>
      </c>
      <c r="H5" s="18">
        <f>B4/B3</f>
        <v>0.2037037037037037</v>
      </c>
      <c r="I5" s="19">
        <f>C2*G5</f>
        <v>16.615384615384617</v>
      </c>
      <c r="J5" s="20">
        <f>B4</f>
        <v>44</v>
      </c>
      <c r="K5" s="21">
        <f>J5-I5</f>
        <v>27.384615384615383</v>
      </c>
      <c r="L5" s="22">
        <f>K5/4</f>
        <v>6.846153846153846</v>
      </c>
    </row>
    <row r="6" ht="15.75" customHeight="1" spans="1:12" x14ac:dyDescent="0.25">
      <c r="A6" s="13" t="s">
        <v>1</v>
      </c>
      <c r="B6" s="14">
        <f>SUMIF(AHL!2:2,"it",AHL!1:1)</f>
        <v>91</v>
      </c>
      <c r="C6">
        <f>AHL!AB1</f>
        <v>5</v>
      </c>
      <c r="E6" s="23" t="s">
        <v>138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16.615384615384617</v>
      </c>
      <c r="J6" s="20">
        <f>B5</f>
        <v>0</v>
      </c>
      <c r="K6" s="27">
        <f>J6-I6</f>
        <v>-16.615384615384617</v>
      </c>
      <c r="L6" s="22">
        <f t="shared" ref="L6" si="0">K6/4</f>
        <v>-4.153846153846154</v>
      </c>
    </row>
    <row r="7" ht="15.75" customHeight="1" spans="1:12" x14ac:dyDescent="0.25">
      <c r="A7" s="28" t="s">
        <v>2</v>
      </c>
      <c r="B7" s="29">
        <f>SUMIF(AHL!2:2,"au",AHL!1:1)</f>
        <v>81</v>
      </c>
      <c r="C7">
        <f>SUM(AHL!AT1,AHL!AY1,AHL!L1,AHL!BE1,AHL!BF1,AHL!BG1,AHL!BH1,AHL!BD1)</f>
        <v>7</v>
      </c>
      <c r="E7" s="30" t="s">
        <v>139</v>
      </c>
      <c r="F7" s="31">
        <v>2</v>
      </c>
      <c r="G7" s="32">
        <f t="shared" ref="G7:G9" si="1">F7/13</f>
        <v>0.15384615384615385</v>
      </c>
      <c r="H7" s="33">
        <f>(B5+B4)/B3</f>
        <v>0.2037037037037037</v>
      </c>
      <c r="I7" s="34">
        <f>C2*G7</f>
        <v>33.23076923076923</v>
      </c>
      <c r="J7" s="35">
        <f>B4+B5</f>
        <v>44</v>
      </c>
      <c r="K7" s="36">
        <f>J7-I7</f>
        <v>10.769230769230766</v>
      </c>
      <c r="L7" s="37">
        <f>K7/4</f>
        <v>2.6923076923076916</v>
      </c>
    </row>
    <row r="8" ht="15.75" customHeight="1" spans="1:12" x14ac:dyDescent="0.25">
      <c r="A8" s="38" t="s">
        <v>140</v>
      </c>
      <c r="C8">
        <f>SUM(C4:C7)</f>
        <v>14</v>
      </c>
      <c r="E8" s="13" t="s">
        <v>141</v>
      </c>
      <c r="F8" s="39">
        <v>7</v>
      </c>
      <c r="G8" s="40">
        <f t="shared" si="1"/>
        <v>0.5384615384615384</v>
      </c>
      <c r="H8" s="41">
        <f>B6/B3</f>
        <v>0.4212962962962963</v>
      </c>
      <c r="I8" s="42">
        <f>C2*G8</f>
        <v>116.3076923076923</v>
      </c>
      <c r="J8">
        <f>B6</f>
        <v>91</v>
      </c>
      <c r="K8" s="43">
        <f>J8-I8</f>
        <v>-25.307692307692307</v>
      </c>
      <c r="L8" s="44">
        <f>K8/4</f>
        <v>-6.326923076923077</v>
      </c>
    </row>
    <row r="9" ht="15.75" customHeight="1" spans="1:12" x14ac:dyDescent="0.25">
      <c r="A9" t="s">
        <v>142</v>
      </c>
      <c r="B9">
        <f>SUM(B4:B7)</f>
        <v>216</v>
      </c>
      <c r="E9" s="28" t="s">
        <v>143</v>
      </c>
      <c r="F9" s="45">
        <v>4</v>
      </c>
      <c r="G9" s="46">
        <f t="shared" si="1"/>
        <v>0.3076923076923077</v>
      </c>
      <c r="H9" s="41">
        <f>B7/B3</f>
        <v>0.375</v>
      </c>
      <c r="I9" s="47">
        <f>C2*G9</f>
        <v>66.46153846153847</v>
      </c>
      <c r="J9" s="48">
        <f>B7</f>
        <v>81</v>
      </c>
      <c r="K9" s="49">
        <f>J9-I9</f>
        <v>14.538461538461533</v>
      </c>
      <c r="L9" s="50">
        <f>K9/4</f>
        <v>3.6346153846153832</v>
      </c>
    </row>
    <row r="11" spans="8:12" x14ac:dyDescent="0.25">
      <c r="H11" s="51" t="s">
        <v>144</v>
      </c>
      <c r="I11" s="52">
        <f>SUM(I7:I9)</f>
        <v>216</v>
      </c>
      <c r="J11" s="53">
        <f>SUM(J7:J9)</f>
        <v>216</v>
      </c>
      <c r="K11" s="54">
        <f>SUM(K7:K9)</f>
        <v>0</v>
      </c>
      <c r="L11" s="55">
        <f>SUM(L7:L9)</f>
        <v>0</v>
      </c>
    </row>
    <row r="16" ht="15.75" customHeight="1" spans="5:12" x14ac:dyDescent="0.25">
      <c r="E16" t="s">
        <v>145</v>
      </c>
      <c r="F16" t="s">
        <v>131</v>
      </c>
      <c r="G16" t="s">
        <v>146</v>
      </c>
      <c r="H16" t="s">
        <v>133</v>
      </c>
      <c r="I16" s="56" t="s">
        <v>134</v>
      </c>
      <c r="J16" s="56" t="s">
        <v>135</v>
      </c>
      <c r="K16" t="s">
        <v>136</v>
      </c>
      <c r="L16" t="s">
        <v>137</v>
      </c>
    </row>
    <row r="17" spans="5:12" x14ac:dyDescent="0.25">
      <c r="E17" s="30" t="s">
        <v>139</v>
      </c>
      <c r="F17" s="31">
        <v>2</v>
      </c>
      <c r="G17" s="57">
        <f t="shared" ref="G17:G19" si="2">F17/13</f>
        <v>0.15384615384615385</v>
      </c>
      <c r="H17" s="58">
        <f>(B5+B4)/B3</f>
        <v>0.2037037037037037</v>
      </c>
      <c r="I17" s="59">
        <f>B3*G17</f>
        <v>33.23076923076923</v>
      </c>
      <c r="J17" s="60">
        <f>B5+B4</f>
        <v>44</v>
      </c>
      <c r="K17" s="61">
        <f>J17-I17</f>
        <v>10.769230769230766</v>
      </c>
      <c r="L17" s="62">
        <f>K17/4</f>
        <v>2.6923076923076916</v>
      </c>
    </row>
    <row r="18" spans="5:17" x14ac:dyDescent="0.25">
      <c r="E18" s="63" t="s">
        <v>141</v>
      </c>
      <c r="F18" s="64">
        <v>7</v>
      </c>
      <c r="G18" s="65">
        <f t="shared" si="2"/>
        <v>0.5384615384615384</v>
      </c>
      <c r="H18" s="66">
        <f>B6/B3</f>
        <v>0.4212962962962963</v>
      </c>
      <c r="I18" s="67">
        <f>B3*G18</f>
        <v>116.3076923076923</v>
      </c>
      <c r="J18" s="68">
        <f>B6</f>
        <v>91</v>
      </c>
      <c r="K18" s="69">
        <f>J18-I18</f>
        <v>-25.307692307692307</v>
      </c>
      <c r="L18" s="62">
        <f>K18/4</f>
        <v>-6.326923076923077</v>
      </c>
      <c r="Q18" s="70"/>
    </row>
    <row r="19" ht="15.75" customHeight="1" spans="5:12" x14ac:dyDescent="0.25">
      <c r="E19" s="71" t="s">
        <v>143</v>
      </c>
      <c r="F19" s="72">
        <v>4</v>
      </c>
      <c r="G19" s="73">
        <f t="shared" si="2"/>
        <v>0.3076923076923077</v>
      </c>
      <c r="H19" s="74">
        <f>B7/B3</f>
        <v>0.375</v>
      </c>
      <c r="I19" s="75">
        <f>B3*G19</f>
        <v>66.46153846153847</v>
      </c>
      <c r="J19" s="76">
        <f>B7</f>
        <v>81</v>
      </c>
      <c r="K19" s="77">
        <f>J19-I19</f>
        <v>14.538461538461533</v>
      </c>
      <c r="L19" s="62">
        <f>K19/4</f>
        <v>3.6346153846153832</v>
      </c>
    </row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F9" sqref="F9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 t="s">
        <v>147</v>
      </c>
      <c r="D1" s="8" t="s">
        <v>148</v>
      </c>
      <c r="E1" s="8"/>
      <c r="F1" s="8"/>
      <c r="G1" s="8"/>
    </row>
    <row r="2" spans="1:1" x14ac:dyDescent="0.25">
      <c r="A2" s="78" t="s">
        <v>149</v>
      </c>
    </row>
    <row r="3" spans="1:1" x14ac:dyDescent="0.25">
      <c r="A3" s="78" t="s">
        <v>150</v>
      </c>
    </row>
    <row r="4" spans="1:1" x14ac:dyDescent="0.25">
      <c r="A4" s="78" t="s">
        <v>151</v>
      </c>
    </row>
    <row r="5" spans="1:1" x14ac:dyDescent="0.25">
      <c r="A5" s="79" t="s">
        <v>152</v>
      </c>
    </row>
    <row r="6" spans="1:1" x14ac:dyDescent="0.25">
      <c r="A6" s="79" t="s">
        <v>153</v>
      </c>
    </row>
    <row r="7" spans="1:1" x14ac:dyDescent="0.25">
      <c r="A7" s="80" t="s">
        <v>154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2025-09-16T09:03:59Z</dcterms:modified>
</cp:coreProperties>
</file>