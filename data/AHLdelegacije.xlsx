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<sst xmlns="http://schemas.openxmlformats.org/spreadsheetml/2006/main" count="1947" uniqueCount="335">
  <si>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</si>
  <si>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</si>
  <si>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</si>
  <si>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</si>
  <si>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</si>
  <si>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</si>
  <si>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</si>
  <si>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</si>
  <si>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</si>
  <si>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</si>
  <si>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</si>
  <si>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</si>
  <si>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</si>
  <si>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</si>
  <si>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</si>
  <si>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</si>
  <si>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</si>
  <si>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</si>
  <si>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</si>
  <si>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</si>
  <si>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</si>
  <si>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</si>
  <si>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</si>
  <si>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</si>
  <si>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</si>
  <si>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</si>
  <si>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</si>
  <si>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</si>
  <si>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</si>
  <si>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</si>
  <si>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</si>
  <si>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</si>
  <si>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</si>
  <si>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</si>
  <si>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</si>
  <si>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</si>
  <si>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</si>
  <si>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</si>
  <si>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</si>
  <si>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</si>
  <si>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</si>
  <si>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</si>
  <si>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</si>
  <si>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</si>
  <si>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</si>
  <si>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</si>
  <si>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</si>
  <si>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</si>
  <si>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</si>
  <si>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</si>
  <si>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</si>
  <si>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</si>
  <si>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</si>
  <si>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</si>
  <si>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</si>
  <si>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</si>
  <si>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</si>
  <si>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</si>
  <si>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</si>
  <si>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</si>
  <si>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</si>
  <si>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</si>
  <si>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</si>
  <si>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</si>
  <si>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</si>
  <si>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</si>
  <si>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</si>
  <si>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</si>
  <si>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</si>
  <si>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</si>
  <si>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</si>
  <si>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</si>
  <si>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</si>
  <si>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</si>
  <si>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</si>
  <si>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</si>
  <si>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</si>
  <si>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</si>
  <si>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</si>
  <si>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</si>
  <si>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</si>
  <si>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</si>
  <si>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</si>
  <si>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</si>
  <si>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</si>
  <si>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</si>
  <si>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</si>
  <si>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</si>
  <si>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</si>
  <si>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</si>
  <si>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</si>
  <si>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</si>
  <si>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</si>
  <si>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</si>
  <si>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</si>
  <si>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</si>
  <si>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</si>
  <si>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</si>
  <si>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</si>
  <si>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</si>
  <si>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</si>
  <si>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</si>
  <si>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</si>
  <si>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</si>
  <si>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</si>
  <si>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</si>
  <si>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</si>
  <si>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</si>
  <si>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</si>
  <si>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2024-11-02</t>
  </si>
  <si>
    <t>2024-12-19</t>
  </si>
  <si>
    <t>2024-12-21</t>
  </si>
  <si>
    <t>2024-11-17</t>
  </si>
  <si>
    <t>2024-11-21</t>
  </si>
  <si>
    <t>2024-11-12</t>
  </si>
  <si>
    <t>2024-12-22</t>
  </si>
  <si>
    <t>2024-11-26</t>
  </si>
  <si>
    <t>2025-01-05</t>
  </si>
  <si>
    <t>2024-12-05</t>
  </si>
  <si>
    <t>2024-12-30</t>
  </si>
  <si>
    <t>2024-11-19</t>
  </si>
  <si>
    <t>2025-01-06</t>
  </si>
  <si>
    <t>2025-01-02</t>
  </si>
  <si>
    <t>2024-12-04</t>
  </si>
  <si>
    <t>2024-12-01</t>
  </si>
  <si>
    <t>2024-11-24</t>
  </si>
  <si>
    <t>zbrisano</t>
  </si>
  <si>
    <t>2025-01-04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</si>
  <si>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</si>
  <si>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</si>
  <si>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</si>
  <si>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</si>
  <si>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</si>
  <si>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</si>
  <si>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</si>
  <si>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</si>
  <si>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</si>
  <si>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</si>
  <si>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</si>
  <si>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</si>
  <si>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</si>
  <si>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</si>
  <si>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</si>
  <si>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</si>
  <si>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</si>
  <si>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</si>
  <si>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</si>
  <si>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</si>
  <si>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</si>
  <si>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</si>
  <si>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</si>
  <si>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</si>
  <si>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</si>
  <si>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</si>
  <si>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</si>
  <si>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</si>
  <si>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</si>
  <si>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</si>
  <si>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</si>
  <si>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</si>
  <si>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</si>
  <si>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</si>
  <si>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</si>
  <si>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</si>
  <si>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</si>
  <si>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</si>
  <si>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</si>
  <si>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</si>
  <si>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Jesenice;BrockAd;MeixnerSe;LegatKo;ZacherlPa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</si>
  <si>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</si>
  <si>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</si>
  <si>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</si>
  <si>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</si>
  <si>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</si>
  <si>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</si>
  <si>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</si>
  <si>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</si>
  <si>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</si>
  <si>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</si>
  <si>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</si>
  <si>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</si>
  <si>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</si>
  <si>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Sterzing;OrelSt;SnojTa;FleischmannLu;RivisAn</t>
  </si>
  <si>
    <t>Eishalle Sissek Zibel;LesniakBo;WidmannFl;ArlicMa;TelesklavFa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</si>
  <si>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</si>
  <si>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</si>
  <si>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</si>
  <si>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</si>
  <si>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</si>
  <si>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</si>
  <si>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</si>
  <si>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</si>
  <si>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</si>
  <si>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</si>
  <si>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</si>
  <si>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</si>
  <si>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</si>
  <si>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</si>
  <si>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</si>
  <si>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</si>
  <si>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</si>
  <si>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</si>
  <si>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</si>
  <si>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</si>
  <si>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</si>
  <si>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</si>
  <si>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Neumarkt;BajtMi;PinieOm;JavornikBl;PaceJa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</si>
  <si>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</si>
  <si>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</si>
  <si>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</si>
  <si>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</si>
  <si>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</si>
  <si>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</si>
  <si>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</si>
  <si>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Zell am See;HlavatyAl;UnterwegerDo;PreiserJu;SeewaldJe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</si>
  <si>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</si>
  <si>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</si>
  <si>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</si>
  <si>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Gröden;BulovecMi;LazzeriAl;MarkizetiGr;PaceJa</t>
  </si>
  <si>
    <t>Eishalle Celje;BajtMi;BenvegnuAn;CristeliMa;JavornikBl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</si>
  <si>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</si>
  <si>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</si>
  <si>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</si>
  <si>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</si>
  <si>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</si>
  <si>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</si>
  <si>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</si>
  <si>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</si>
  <si>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</si>
  <si>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</si>
  <si>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</si>
  <si>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</si>
  <si>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</si>
  <si>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</si>
  <si>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</si>
  <si>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</si>
  <si>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Celje;VoicanCh;WidmannFl;WeissAl;WuchererGe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</si>
  <si>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</si>
  <si>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</si>
  <si>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</si>
  <si>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</si>
  <si>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</si>
  <si>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</si>
  <si>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</si>
  <si>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</si>
  <si>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</si>
  <si>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Dornbirn;HolzerTo;LegaSi;CusinFe;DivisDo</t>
  </si>
  <si>
    <t>Eishalle Sterzing;Huber rRe;VirtaTu;FormaioniTh;RinkerDa</t>
  </si>
  <si>
    <t>Sportpark Kitzbühel;MetzingerFi;VoicanCh;KnezRo;LegatKo</t>
  </si>
  <si>
    <t>Eishalle Meran;Huber rRe;RuetzMa;IlmerNo;ScalzeriAl</t>
  </si>
  <si>
    <t>Eishalle Cortina;EggerTh;MoschenAn;AbeltinoSi;FormaioniTh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</si>
  <si>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</si>
  <si>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</si>
  <si>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</si>
  <si>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</si>
  <si>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</si>
  <si>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</si>
  <si>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</si>
  <si>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</si>
  <si>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</si>
  <si>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</si>
  <si>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</si>
  <si>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</si>
  <si>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</si>
  <si>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</si>
  <si>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</si>
  <si>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</si>
  <si>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</si>
  <si>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</si>
  <si>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</si>
  <si>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</si>
  <si>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</si>
  <si>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</si>
  <si>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</si>
  <si>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</si>
  <si>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Sterzing;Huber rRe;SpiegelSe;GrisentiLu;IlmerNo</t>
  </si>
  <si>
    <t>Eishalle Dornbirn;EggerTh;RuetzMa;DivisDo;JägerRi</t>
  </si>
  <si>
    <t>Eishalle Cortina;GiacomozziFe;PinieOm;CristeliMa;CusinFe</t>
  </si>
  <si>
    <t>Eishalle Cortina;BajtMi;MoschenAn;CristeliMa;MarkizetiGr</t>
  </si>
  <si>
    <t>Eishalle Meran;BenvegnuAn;RuetzMa;JägerRi;RivisAn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</si>
  <si>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</si>
  <si>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</si>
  <si>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</si>
  <si>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</si>
  <si>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</si>
  <si>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</si>
  <si>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</si>
  <si>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</si>
  <si>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</si>
  <si>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</si>
  <si>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</si>
  <si>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</si>
  <si>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</si>
  <si>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</si>
  <si>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Salzburg;Huber rRe;LehnerMo;EislCh;StrimitzerDa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</si>
  <si>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</si>
  <si>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</si>
  <si>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</si>
  <si>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</si>
  <si>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Gröden;GiacomozziFe;MoidlDa;MattheyPh;MoidlMa</t>
  </si>
  <si>
    <t>KELIT Arena Zell am See;BajtMi;HolzerTo;JavornikBl;StrimitzerDa</t>
  </si>
  <si>
    <t>Eishalle Gröden;PirasAn;VirtaTu;FecchioFe;GrisentiLu</t>
  </si>
  <si>
    <t>Eishalle Cortina;RivisFe;SoraperraSi;GrisentiLu;ScalzeriAl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</si>
  <si>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</si>
  <si>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</si>
  <si>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</si>
  <si>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</si>
  <si>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</si>
  <si>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</si>
  <si>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</si>
  <si>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</si>
  <si>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Eishalle Gröden;MoschenAn;VirtaTu;FleischmannLu;FormaioniTh</t>
  </si>
  <si>
    <t>Eishalle Cortina;LebenJa;PinieOm;IlmerNo;JeramFi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</si>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</sst>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I24" sqref="I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 t="shared" ref="C1:BF1" si="0">COUNTIF(C4:C70,"&lt;&gt;")</f>
        <v>12</v>
      </c>
      <c r="D1">
        <f>COUNTIF(D4:D68,"&lt;&gt;")</f>
        <v>13</v>
      </c>
      <c r="E1">
        <f>COUNTIF(E4:E68,"&lt;&gt;")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COUNTIF(N4:N69,"&lt;&gt;")</f>
        <v>12</v>
      </c>
      <c r="O1">
        <f>COUNTIF(O4:O68,"&lt;&gt;")</f>
        <v>14</v>
      </c>
      <c r="P1">
        <f t="shared" si="0"/>
        <v>14</v>
      </c>
      <c r="Q1">
        <f>COUNTIF(Q4:Q68,"&lt;&gt;")</f>
        <v>16</v>
      </c>
      <c r="R1">
        <f>COUNTIF(R4:R67,"&lt;&gt;")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COUNTIF(Y4:Y69,"&lt;&gt;")</f>
        <v>14</v>
      </c>
      <c r="Z1">
        <f t="shared" si="0"/>
        <v>14</v>
      </c>
      <c r="AA1">
        <f>COUNTIF(AA4:AA66,"&lt;&gt;")</f>
        <v>13</v>
      </c>
      <c r="AB1">
        <f>COUNTIF(AB4:AB68,"&lt;&gt;")</f>
        <v>10</v>
      </c>
      <c r="AC1">
        <f>COUNTIF(AC4:AC69,"&lt;&gt;")</f>
        <v>12</v>
      </c>
      <c r="AD1">
        <f>COUNTIF(AD4:AD69,"&lt;&gt;")</f>
        <v>12</v>
      </c>
      <c r="AE1">
        <f>COUNTIF(AE4:AE68,"&lt;&gt;")</f>
        <v>11</v>
      </c>
      <c r="AF1">
        <f>COUNTIF(AF4:AF65,"&lt;&gt;")</f>
        <v>11</v>
      </c>
      <c r="AG1">
        <f>COUNTIF(AG4:AG69,"&lt;&gt;")</f>
        <v>12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COUNTIF(AK4:AK66,"&lt;&gt;")</f>
        <v>13</v>
      </c>
      <c r="AL1">
        <f>COUNTIF(AL4:AL68,"&lt;&gt;")</f>
        <v>10</v>
      </c>
      <c r="AM1">
        <f>COUNTIF(AM4:AM67,"&lt;&gt;")</f>
        <v>14</v>
      </c>
      <c r="AN1">
        <f>COUNTIF(AN4:AN66,"&lt;&gt;")</f>
        <v>13</v>
      </c>
      <c r="AO1">
        <f>COUNTIF(AO4:AO69,"&lt;&gt;")</f>
        <v>12</v>
      </c>
      <c r="AP1">
        <f>COUNTIF(AP4:AP68,"&lt;&gt;")</f>
        <v>12</v>
      </c>
      <c r="AQ1">
        <f>COUNTIF(AQ4:AQ68,"&lt;&gt;")</f>
        <v>11</v>
      </c>
      <c r="AR1">
        <f>COUNTIF(AR4:AR64,"&lt;&gt;")</f>
        <v>15</v>
      </c>
      <c r="AS1">
        <f>COUNTIF(AS4:AS69,"&lt;&gt;")</f>
        <v>10</v>
      </c>
      <c r="AT1">
        <f>COUNTIF(AT4:AT67,"&lt;&gt;")</f>
        <v>16</v>
      </c>
      <c r="AU1">
        <f t="shared" si="0"/>
        <v>9</v>
      </c>
      <c r="AV1">
        <f>COUNTIF(AV4:AV67,"&lt;&gt;")</f>
        <v>13</v>
      </c>
      <c r="AW1">
        <f>COUNTIF(AW4:AW67,"&lt;&gt;")</f>
        <v>12</v>
      </c>
      <c r="AX1">
        <f>COUNTIF(AX4:AX67,"&lt;&gt;")</f>
        <v>14</v>
      </c>
      <c r="AY1">
        <f>COUNTIF(AY4:AY68,"&lt;&gt;")</f>
        <v>14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COUNTIF(BG4:BG68,"&lt;&gt;")</f>
        <v>5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COUNTIF(BK4:BK66,"&lt;&gt;")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91</v>
      </c>
      <c r="BH6" t="s">
        <v>109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110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111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112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94</v>
      </c>
      <c r="BH7" s="8" t="s">
        <v>113</v>
      </c>
      <c r="BJ7" t="s">
        <v>102</v>
      </c>
      <c r="BK7" t="s">
        <v>114</v>
      </c>
      <c r="BM7" t="s">
        <v>113</v>
      </c>
      <c r="BN7" t="s">
        <v>107</v>
      </c>
      <c r="BO7" t="s">
        <v>94</v>
      </c>
      <c r="BP7" s="7" t="s">
        <v>115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116</v>
      </c>
      <c r="K8" t="s">
        <v>77</v>
      </c>
      <c r="L8" s="8" t="s">
        <v>112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117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118</v>
      </c>
      <c r="AI8" t="s">
        <v>103</v>
      </c>
      <c r="AJ8" t="s">
        <v>77</v>
      </c>
      <c r="AK8" t="s">
        <v>113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109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109</v>
      </c>
      <c r="BD8" t="s">
        <v>88</v>
      </c>
      <c r="BE8" t="s">
        <v>118</v>
      </c>
      <c r="BF8" t="s">
        <v>95</v>
      </c>
      <c r="BG8" s="7" t="s">
        <v>119</v>
      </c>
      <c r="BH8" s="7" t="s">
        <v>92</v>
      </c>
      <c r="BJ8" t="s">
        <v>94</v>
      </c>
      <c r="BK8" t="s">
        <v>120</v>
      </c>
      <c r="BM8" t="s">
        <v>118</v>
      </c>
      <c r="BN8" t="s">
        <v>113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113</v>
      </c>
      <c r="H9" s="8" t="s">
        <v>100</v>
      </c>
      <c r="I9" s="8" t="s">
        <v>113</v>
      </c>
      <c r="J9" s="7" t="s">
        <v>104</v>
      </c>
      <c r="K9" s="8" t="s">
        <v>112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113</v>
      </c>
      <c r="AB9" t="s">
        <v>113</v>
      </c>
      <c r="AC9" t="s">
        <v>90</v>
      </c>
      <c r="AD9" t="s">
        <v>113</v>
      </c>
      <c r="AE9" s="8" t="s">
        <v>91</v>
      </c>
      <c r="AF9" t="s">
        <v>93</v>
      </c>
      <c r="AG9" s="6" t="s">
        <v>88</v>
      </c>
      <c r="AH9" t="s">
        <v>116</v>
      </c>
      <c r="AI9" t="s">
        <v>121</v>
      </c>
      <c r="AJ9" t="s">
        <v>118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109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122</v>
      </c>
      <c r="BF9" t="s">
        <v>94</v>
      </c>
      <c r="BH9" t="s">
        <v>122</v>
      </c>
      <c r="BJ9" s="7" t="s">
        <v>115</v>
      </c>
      <c r="BK9" t="s">
        <v>113</v>
      </c>
      <c r="BM9" s="7" t="s">
        <v>119</v>
      </c>
      <c r="BN9" s="7" t="s">
        <v>104</v>
      </c>
      <c r="BO9" t="s">
        <v>122</v>
      </c>
      <c r="BP9" t="s">
        <v>122</v>
      </c>
    </row>
    <row r="10" ht="15" customHeight="1" spans="1:68" x14ac:dyDescent="0.25">
      <c r="A10" s="8" t="s">
        <v>100</v>
      </c>
      <c r="B10" t="s">
        <v>118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110</v>
      </c>
      <c r="K10" t="s">
        <v>106</v>
      </c>
      <c r="L10" t="s">
        <v>118</v>
      </c>
      <c r="N10" t="s">
        <v>120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112</v>
      </c>
      <c r="AA10" t="s">
        <v>106</v>
      </c>
      <c r="AB10" t="s">
        <v>94</v>
      </c>
      <c r="AC10" s="6" t="s">
        <v>88</v>
      </c>
      <c r="AD10" t="s">
        <v>106</v>
      </c>
      <c r="AE10" t="s">
        <v>123</v>
      </c>
      <c r="AF10" t="s">
        <v>102</v>
      </c>
      <c r="AG10" t="s">
        <v>91</v>
      </c>
      <c r="AH10" t="s">
        <v>113</v>
      </c>
      <c r="AJ10" s="7" t="s">
        <v>104</v>
      </c>
      <c r="AK10" t="s">
        <v>124</v>
      </c>
      <c r="AL10" t="s">
        <v>95</v>
      </c>
      <c r="AM10" s="8" t="s">
        <v>100</v>
      </c>
      <c r="AN10" s="8" t="s">
        <v>100</v>
      </c>
      <c r="AO10" t="s">
        <v>91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114</v>
      </c>
      <c r="BF10" s="7"/>
      <c r="BJ10" t="s">
        <v>92</v>
      </c>
      <c r="BK10" t="s">
        <v>107</v>
      </c>
      <c r="BM10" t="s">
        <v>103</v>
      </c>
      <c r="BN10" t="s">
        <v>111</v>
      </c>
    </row>
    <row r="11" ht="15" customHeight="1" spans="1:66" x14ac:dyDescent="0.25">
      <c r="A11" t="s">
        <v>91</v>
      </c>
      <c r="B11" t="s">
        <v>116</v>
      </c>
      <c r="C11" t="s">
        <v>113</v>
      </c>
      <c r="D11" t="s">
        <v>94</v>
      </c>
      <c r="E11" s="8" t="s">
        <v>102</v>
      </c>
      <c r="F11" t="s">
        <v>94</v>
      </c>
      <c r="H11" t="s">
        <v>125</v>
      </c>
      <c r="I11" s="7" t="s">
        <v>92</v>
      </c>
      <c r="J11" t="s">
        <v>117</v>
      </c>
      <c r="K11" t="s">
        <v>118</v>
      </c>
      <c r="L11" t="s">
        <v>124</v>
      </c>
      <c r="N11" t="s">
        <v>116</v>
      </c>
      <c r="O11" t="s">
        <v>95</v>
      </c>
      <c r="P11" t="s">
        <v>113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125</v>
      </c>
      <c r="W11" t="s">
        <v>93</v>
      </c>
      <c r="Y11" t="s">
        <v>100</v>
      </c>
      <c r="Z11" t="s">
        <v>107</v>
      </c>
      <c r="AA11" t="s">
        <v>118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110</v>
      </c>
      <c r="AK11" t="s">
        <v>88</v>
      </c>
      <c r="AL11" t="s">
        <v>94</v>
      </c>
      <c r="AM11" t="s">
        <v>91</v>
      </c>
      <c r="AN11" t="s">
        <v>91</v>
      </c>
      <c r="AO11" t="s">
        <v>95</v>
      </c>
      <c r="AP11" t="s">
        <v>113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102</v>
      </c>
      <c r="AW11" t="s">
        <v>118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116</v>
      </c>
      <c r="BJ11" t="s">
        <v>104</v>
      </c>
      <c r="BK11" s="7" t="s">
        <v>104</v>
      </c>
      <c r="BM11" t="s">
        <v>122</v>
      </c>
      <c r="BN11" t="s">
        <v>122</v>
      </c>
    </row>
    <row r="12" ht="15" customHeight="1" spans="1:66" x14ac:dyDescent="0.25">
      <c r="A12" t="s">
        <v>95</v>
      </c>
      <c r="B12" s="7" t="s">
        <v>104</v>
      </c>
      <c r="C12" t="s">
        <v>94</v>
      </c>
      <c r="D12" t="s">
        <v>100</v>
      </c>
      <c r="E12" t="s">
        <v>95</v>
      </c>
      <c r="F12" s="7" t="s">
        <v>122</v>
      </c>
      <c r="H12" s="7" t="s">
        <v>92</v>
      </c>
      <c r="I12" t="s">
        <v>111</v>
      </c>
      <c r="K12" t="s">
        <v>124</v>
      </c>
      <c r="L12" s="7" t="s">
        <v>111</v>
      </c>
      <c r="N12" t="s">
        <v>118</v>
      </c>
      <c r="O12" t="s">
        <v>113</v>
      </c>
      <c r="P12" t="s">
        <v>106</v>
      </c>
      <c r="Q12" s="8" t="s">
        <v>107</v>
      </c>
      <c r="R12" s="8" t="s">
        <v>123</v>
      </c>
      <c r="S12" s="8" t="s">
        <v>107</v>
      </c>
      <c r="T12" t="s">
        <v>113</v>
      </c>
      <c r="U12" t="s">
        <v>113</v>
      </c>
      <c r="V12" s="7" t="s">
        <v>106</v>
      </c>
      <c r="W12" s="8" t="s">
        <v>100</v>
      </c>
      <c r="Y12" t="s">
        <v>126</v>
      </c>
      <c r="Z12" t="s">
        <v>113</v>
      </c>
      <c r="AA12" s="7" t="s">
        <v>91</v>
      </c>
      <c r="AB12" t="s">
        <v>119</v>
      </c>
      <c r="AC12" s="7" t="s">
        <v>115</v>
      </c>
      <c r="AD12" t="s">
        <v>88</v>
      </c>
      <c r="AE12" t="s">
        <v>125</v>
      </c>
      <c r="AF12" s="7" t="s">
        <v>119</v>
      </c>
      <c r="AG12" t="s">
        <v>116</v>
      </c>
      <c r="AH12" s="7" t="s">
        <v>104</v>
      </c>
      <c r="AJ12" t="s">
        <v>127</v>
      </c>
      <c r="AK12" t="s">
        <v>95</v>
      </c>
      <c r="AL12" s="7" t="s">
        <v>92</v>
      </c>
      <c r="AM12" t="s">
        <v>102</v>
      </c>
      <c r="AN12" t="s">
        <v>102</v>
      </c>
      <c r="AO12" s="7" t="s">
        <v>92</v>
      </c>
      <c r="AP12" t="s">
        <v>107</v>
      </c>
      <c r="AQ12" t="s">
        <v>118</v>
      </c>
      <c r="AR12" t="s">
        <v>102</v>
      </c>
      <c r="AS12" s="7" t="s">
        <v>115</v>
      </c>
      <c r="AT12" s="8" t="s">
        <v>100</v>
      </c>
      <c r="AU12" s="7" t="s">
        <v>111</v>
      </c>
      <c r="AV12" t="s">
        <v>94</v>
      </c>
      <c r="AW12" t="s">
        <v>100</v>
      </c>
      <c r="AX12" t="s">
        <v>123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110</v>
      </c>
      <c r="BM12" t="s">
        <v>121</v>
      </c>
    </row>
    <row r="13" ht="15" customHeight="1" spans="1:65" x14ac:dyDescent="0.25">
      <c r="A13" s="7" t="s">
        <v>92</v>
      </c>
      <c r="B13" t="s">
        <v>103</v>
      </c>
      <c r="C13" s="7" t="s">
        <v>115</v>
      </c>
      <c r="D13" t="s">
        <v>125</v>
      </c>
      <c r="E13" t="s">
        <v>106</v>
      </c>
      <c r="F13" t="s">
        <v>121</v>
      </c>
      <c r="H13" t="s">
        <v>110</v>
      </c>
      <c r="I13" t="s">
        <v>122</v>
      </c>
      <c r="K13" s="7" t="s">
        <v>111</v>
      </c>
      <c r="L13" t="s">
        <v>122</v>
      </c>
      <c r="N13" s="7" t="s">
        <v>119</v>
      </c>
      <c r="O13" t="s">
        <v>94</v>
      </c>
      <c r="P13" t="s">
        <v>118</v>
      </c>
      <c r="Q13" t="s">
        <v>113</v>
      </c>
      <c r="R13" t="s">
        <v>120</v>
      </c>
      <c r="S13" t="s">
        <v>95</v>
      </c>
      <c r="T13" t="s">
        <v>94</v>
      </c>
      <c r="U13" t="s">
        <v>94</v>
      </c>
      <c r="V13" t="s">
        <v>119</v>
      </c>
      <c r="W13" t="s">
        <v>113</v>
      </c>
      <c r="Y13" t="s">
        <v>95</v>
      </c>
      <c r="Z13" t="s">
        <v>106</v>
      </c>
      <c r="AA13" t="s">
        <v>104</v>
      </c>
      <c r="AB13" t="s">
        <v>111</v>
      </c>
      <c r="AC13" t="s">
        <v>119</v>
      </c>
      <c r="AD13" s="7" t="s">
        <v>119</v>
      </c>
      <c r="AE13" s="7" t="s">
        <v>110</v>
      </c>
      <c r="AF13" t="s">
        <v>103</v>
      </c>
      <c r="AG13" s="7" t="s">
        <v>119</v>
      </c>
      <c r="AH13" t="s">
        <v>110</v>
      </c>
      <c r="AK13" s="7" t="s">
        <v>119</v>
      </c>
      <c r="AL13" t="s">
        <v>127</v>
      </c>
      <c r="AM13" t="s">
        <v>106</v>
      </c>
      <c r="AN13" t="s">
        <v>94</v>
      </c>
      <c r="AO13" t="s">
        <v>110</v>
      </c>
      <c r="AP13" s="7" t="s">
        <v>92</v>
      </c>
      <c r="AQ13" s="7" t="s">
        <v>115</v>
      </c>
      <c r="AR13" t="s">
        <v>106</v>
      </c>
      <c r="AS13" t="s">
        <v>127</v>
      </c>
      <c r="AT13" t="s">
        <v>114</v>
      </c>
      <c r="AV13" t="s">
        <v>106</v>
      </c>
      <c r="AW13" s="7" t="s">
        <v>92</v>
      </c>
      <c r="AX13" t="s">
        <v>116</v>
      </c>
      <c r="AY13" t="s">
        <v>94</v>
      </c>
      <c r="AZ13" t="s">
        <v>113</v>
      </c>
      <c r="BA13" t="s">
        <v>114</v>
      </c>
      <c r="BB13" t="s">
        <v>102</v>
      </c>
      <c r="BC13" t="s">
        <v>122</v>
      </c>
      <c r="BD13" t="s">
        <v>122</v>
      </c>
      <c r="BK13" t="s">
        <v>121</v>
      </c>
    </row>
    <row r="14" ht="15" customHeight="1" spans="1:63" x14ac:dyDescent="0.25">
      <c r="A14" t="s">
        <v>111</v>
      </c>
      <c r="B14" t="s">
        <v>117</v>
      </c>
      <c r="C14" t="s">
        <v>119</v>
      </c>
      <c r="D14" s="7" t="s">
        <v>115</v>
      </c>
      <c r="E14" t="s">
        <v>118</v>
      </c>
      <c r="H14" t="s">
        <v>121</v>
      </c>
      <c r="I14" t="s">
        <v>121</v>
      </c>
      <c r="K14" t="s">
        <v>117</v>
      </c>
      <c r="L14" t="s">
        <v>117</v>
      </c>
      <c r="N14" t="s">
        <v>110</v>
      </c>
      <c r="O14" t="s">
        <v>90</v>
      </c>
      <c r="P14" s="7" t="s">
        <v>104</v>
      </c>
      <c r="Q14" t="s">
        <v>94</v>
      </c>
      <c r="R14" t="s">
        <v>116</v>
      </c>
      <c r="S14" t="s">
        <v>113</v>
      </c>
      <c r="T14" s="7" t="s">
        <v>104</v>
      </c>
      <c r="U14" t="s">
        <v>93</v>
      </c>
      <c r="V14" t="s">
        <v>110</v>
      </c>
      <c r="W14" t="s">
        <v>106</v>
      </c>
      <c r="Y14" t="s">
        <v>126</v>
      </c>
      <c r="Z14" t="s">
        <v>124</v>
      </c>
      <c r="AA14" t="s">
        <v>110</v>
      </c>
      <c r="AC14" t="s">
        <v>103</v>
      </c>
      <c r="AD14" t="s">
        <v>111</v>
      </c>
      <c r="AE14" t="s">
        <v>122</v>
      </c>
      <c r="AF14" t="s">
        <v>121</v>
      </c>
      <c r="AG14" t="s">
        <v>103</v>
      </c>
      <c r="AH14" t="s">
        <v>127</v>
      </c>
      <c r="AK14" t="s">
        <v>103</v>
      </c>
      <c r="AM14" s="7" t="s">
        <v>92</v>
      </c>
      <c r="AN14" t="s">
        <v>113</v>
      </c>
      <c r="AO14" t="s">
        <v>122</v>
      </c>
      <c r="AP14" t="s">
        <v>122</v>
      </c>
      <c r="AQ14" t="s">
        <v>117</v>
      </c>
      <c r="AR14" t="s">
        <v>94</v>
      </c>
      <c r="AT14" t="s">
        <v>113</v>
      </c>
      <c r="AV14" s="7" t="s">
        <v>119</v>
      </c>
      <c r="AW14" t="s">
        <v>103</v>
      </c>
      <c r="AX14" s="7" t="s">
        <v>92</v>
      </c>
      <c r="AY14" s="7" t="s">
        <v>104</v>
      </c>
      <c r="AZ14" t="s">
        <v>123</v>
      </c>
      <c r="BA14" s="7" t="s">
        <v>104</v>
      </c>
      <c r="BB14" t="s">
        <v>120</v>
      </c>
    </row>
    <row r="15" ht="15" customHeight="1" spans="1:54" x14ac:dyDescent="0.25">
      <c r="A15" t="s">
        <v>117</v>
      </c>
      <c r="C15" t="s">
        <v>127</v>
      </c>
      <c r="D15" t="s">
        <v>110</v>
      </c>
      <c r="E15" s="7" t="s">
        <v>92</v>
      </c>
      <c r="N15" t="s">
        <v>117</v>
      </c>
      <c r="O15" s="7" t="s">
        <v>119</v>
      </c>
      <c r="P15" t="s">
        <v>119</v>
      </c>
      <c r="Q15" t="s">
        <v>118</v>
      </c>
      <c r="R15" t="s">
        <v>118</v>
      </c>
      <c r="S15" t="s">
        <v>106</v>
      </c>
      <c r="T15" t="s">
        <v>110</v>
      </c>
      <c r="U15" t="s">
        <v>100</v>
      </c>
      <c r="V15" t="s">
        <v>117</v>
      </c>
      <c r="W15" t="s">
        <v>118</v>
      </c>
      <c r="Y15" s="7" t="s">
        <v>92</v>
      </c>
      <c r="Z15" s="7" t="s">
        <v>119</v>
      </c>
      <c r="AA15" t="s">
        <v>122</v>
      </c>
      <c r="AC15" t="s">
        <v>127</v>
      </c>
      <c r="AD15" t="s">
        <v>121</v>
      </c>
      <c r="AG15" t="s">
        <v>121</v>
      </c>
      <c r="AK15" t="s">
        <v>111</v>
      </c>
      <c r="AM15" t="s">
        <v>119</v>
      </c>
      <c r="AN15" s="7" t="s">
        <v>104</v>
      </c>
      <c r="AO15" t="s">
        <v>121</v>
      </c>
      <c r="AP15" t="s">
        <v>121</v>
      </c>
      <c r="AR15" s="7" t="s">
        <v>104</v>
      </c>
      <c r="AT15" t="s">
        <v>107</v>
      </c>
      <c r="AV15" t="s">
        <v>111</v>
      </c>
      <c r="AW15" t="s">
        <v>121</v>
      </c>
      <c r="AX15" t="s">
        <v>110</v>
      </c>
      <c r="AY15" t="s">
        <v>111</v>
      </c>
      <c r="AZ15" s="7" t="s">
        <v>104</v>
      </c>
      <c r="BA15" t="s">
        <v>103</v>
      </c>
      <c r="BB15" s="7" t="s">
        <v>104</v>
      </c>
    </row>
    <row r="16" ht="15" customHeight="1" spans="1:54" x14ac:dyDescent="0.25">
      <c r="D16" t="s">
        <v>121</v>
      </c>
      <c r="E16" t="s">
        <v>103</v>
      </c>
      <c r="O16" t="s">
        <v>110</v>
      </c>
      <c r="P16" t="s">
        <v>110</v>
      </c>
      <c r="Q16" s="7" t="s">
        <v>92</v>
      </c>
      <c r="R16" s="7" t="s">
        <v>115</v>
      </c>
      <c r="S16" s="7" t="s">
        <v>119</v>
      </c>
      <c r="T16" t="s">
        <v>127</v>
      </c>
      <c r="U16" s="7" t="s">
        <v>104</v>
      </c>
      <c r="W16" s="7" t="s">
        <v>104</v>
      </c>
      <c r="Y16" t="s">
        <v>122</v>
      </c>
      <c r="Z16" t="s">
        <v>110</v>
      </c>
      <c r="AA16" t="s">
        <v>121</v>
      </c>
      <c r="AK16" t="s">
        <v>117</v>
      </c>
      <c r="AM16" t="s">
        <v>127</v>
      </c>
      <c r="AN16" t="s">
        <v>128</v>
      </c>
      <c r="AR16" t="s">
        <v>111</v>
      </c>
      <c r="AT16" s="7" t="s">
        <v>104</v>
      </c>
      <c r="AV16" t="s">
        <v>117</v>
      </c>
      <c r="AX16" t="s">
        <v>122</v>
      </c>
      <c r="AY16" t="s">
        <v>128</v>
      </c>
      <c r="AZ16" t="s">
        <v>111</v>
      </c>
      <c r="BA16" t="s">
        <v>127</v>
      </c>
      <c r="BB16" t="s">
        <v>103</v>
      </c>
    </row>
    <row r="17" ht="15" customHeight="1" spans="4:54" x14ac:dyDescent="0.25">
      <c r="E17" t="s">
        <v>127</v>
      </c>
      <c r="O17" t="s">
        <v>121</v>
      </c>
      <c r="P17" t="s">
        <v>121</v>
      </c>
      <c r="Q17" t="s">
        <v>119</v>
      </c>
      <c r="R17" t="s">
        <v>119</v>
      </c>
      <c r="S17" t="s">
        <v>103</v>
      </c>
      <c r="U17" t="s">
        <v>103</v>
      </c>
      <c r="W17" t="s">
        <v>119</v>
      </c>
      <c r="Y17" t="s">
        <v>121</v>
      </c>
      <c r="Z17" t="s">
        <v>121</v>
      </c>
      <c r="AM17" t="s">
        <v>121</v>
      </c>
      <c r="AR17" t="s">
        <v>128</v>
      </c>
      <c r="AT17" t="s">
        <v>110</v>
      </c>
      <c r="AX17" t="s">
        <v>121</v>
      </c>
      <c r="AY17" t="s">
        <v>121</v>
      </c>
      <c r="AZ17" t="s">
        <v>128</v>
      </c>
      <c r="BB17" t="s">
        <v>122</v>
      </c>
    </row>
    <row r="18" ht="15" customHeight="1" spans="5:54" x14ac:dyDescent="0.25">
      <c r="Q18" t="s">
        <v>110</v>
      </c>
      <c r="R18" t="s">
        <v>103</v>
      </c>
      <c r="S18" t="s">
        <v>111</v>
      </c>
      <c r="U18" t="s">
        <v>111</v>
      </c>
      <c r="W18" t="s">
        <v>110</v>
      </c>
      <c r="AR18" t="s">
        <v>117</v>
      </c>
      <c r="AT18" t="s">
        <v>122</v>
      </c>
      <c r="AZ18" t="s">
        <v>121</v>
      </c>
    </row>
    <row r="19" ht="15" customHeight="1" spans="17:52" x14ac:dyDescent="0.25">
      <c r="Q19" t="s">
        <v>121</v>
      </c>
      <c r="R19" t="s">
        <v>127</v>
      </c>
      <c r="S19" t="s">
        <v>122</v>
      </c>
      <c r="U19" t="s">
        <v>127</v>
      </c>
      <c r="AT19" t="s">
        <v>121</v>
      </c>
    </row>
    <row r="20" ht="15" customHeight="1" spans="17:46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114</v>
      </c>
      <c r="AI3" t="s">
        <v>95</v>
      </c>
      <c r="AJ3" t="s">
        <v>120</v>
      </c>
      <c r="AK3" t="s">
        <v>113</v>
      </c>
      <c r="AL3" t="s">
        <v>116</v>
      </c>
      <c r="AM3" t="s">
        <v>106</v>
      </c>
      <c r="AN3" t="s">
        <v>118</v>
      </c>
      <c r="AO3" t="s">
        <v>94</v>
      </c>
      <c r="AP3" t="s">
        <v>124</v>
      </c>
      <c r="AQ3" t="s">
        <v>125</v>
      </c>
      <c r="AR3" t="s">
        <v>115</v>
      </c>
      <c r="AS3" t="s">
        <v>92</v>
      </c>
      <c r="AT3" t="s">
        <v>104</v>
      </c>
      <c r="AU3" t="s">
        <v>119</v>
      </c>
      <c r="AV3" t="s">
        <v>103</v>
      </c>
      <c r="AW3" t="s">
        <v>110</v>
      </c>
      <c r="AX3" t="s">
        <v>111</v>
      </c>
      <c r="AY3" t="s">
        <v>128</v>
      </c>
      <c r="AZ3" t="s">
        <v>122</v>
      </c>
      <c r="BA3" t="s">
        <v>127</v>
      </c>
      <c r="BB3" t="s">
        <v>117</v>
      </c>
      <c r="BC3" t="s">
        <v>121</v>
      </c>
    </row>
    <row r="4" ht="15" customHeight="1" spans="1:55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47</v>
      </c>
      <c r="BC4" t="s">
        <v>11</v>
      </c>
    </row>
    <row r="5" ht="15" customHeight="1" spans="1:55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</row>
    <row r="6" ht="15" customHeight="1" spans="1:55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51</v>
      </c>
      <c r="AN6" t="s">
        <v>52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</row>
    <row r="7" ht="15" customHeight="1" spans="1:55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</row>
    <row r="8" ht="15" customHeight="1" spans="1:55" x14ac:dyDescent="0.25">
      <c r="A8" t="s">
        <v>21</v>
      </c>
      <c r="D8" t="s">
        <v>129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129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68</v>
      </c>
      <c r="AW8" t="s">
        <v>39</v>
      </c>
      <c r="AX8" t="s">
        <v>24</v>
      </c>
      <c r="AZ8" t="s">
        <v>71</v>
      </c>
      <c r="BA8" t="s">
        <v>6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129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36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72</v>
      </c>
      <c r="AW9" t="s">
        <v>29</v>
      </c>
      <c r="AX9" t="s">
        <v>4</v>
      </c>
      <c r="AZ9" t="s">
        <v>70</v>
      </c>
      <c r="BA9" t="s">
        <v>21</v>
      </c>
      <c r="BB9" t="s">
        <v>17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52</v>
      </c>
      <c r="AW10" t="s">
        <v>19</v>
      </c>
      <c r="AX10" t="s">
        <v>22</v>
      </c>
      <c r="AZ10" t="s">
        <v>59</v>
      </c>
      <c r="BA10" t="s">
        <v>8</v>
      </c>
      <c r="BB10" t="s">
        <v>40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  <c r="AR11" t="s">
        <v>7</v>
      </c>
      <c r="AS11" t="s">
        <v>42</v>
      </c>
      <c r="AT11" t="s">
        <v>43</v>
      </c>
      <c r="AU11" t="s">
        <v>42</v>
      </c>
      <c r="AV11" t="s">
        <v>59</v>
      </c>
      <c r="AW11" t="s">
        <v>37</v>
      </c>
      <c r="AX11" t="s">
        <v>12</v>
      </c>
      <c r="AZ11" t="s">
        <v>60</v>
      </c>
      <c r="BA11" t="s">
        <v>37</v>
      </c>
      <c r="BB11" t="s">
        <v>13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129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  <c r="AS12" t="s">
        <v>4</v>
      </c>
      <c r="AT12" t="s">
        <v>31</v>
      </c>
      <c r="AU12" t="s">
        <v>21</v>
      </c>
      <c r="AV12" t="s">
        <v>56</v>
      </c>
      <c r="AW12" t="s">
        <v>44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  <c r="AS13" t="s">
        <v>63</v>
      </c>
      <c r="AT13" t="s">
        <v>38</v>
      </c>
      <c r="AU13" t="s">
        <v>29</v>
      </c>
      <c r="AV13" t="s">
        <v>38</v>
      </c>
      <c r="AW13" t="s">
        <v>26</v>
      </c>
      <c r="AX13" t="s">
        <v>50</v>
      </c>
      <c r="AZ13" t="s">
        <v>49</v>
      </c>
      <c r="BA13" t="s">
        <v>24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62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  <c r="AS14" t="s">
        <v>52</v>
      </c>
      <c r="AT14" t="s">
        <v>37</v>
      </c>
      <c r="AU14" t="s">
        <v>32</v>
      </c>
      <c r="AV14" t="s">
        <v>35</v>
      </c>
      <c r="AW14" t="s">
        <v>23</v>
      </c>
      <c r="AX14" t="s">
        <v>15</v>
      </c>
      <c r="AZ14" t="s">
        <v>28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  <c r="AS15" t="s">
        <v>53</v>
      </c>
      <c r="AT15" t="s">
        <v>30</v>
      </c>
      <c r="AU15" t="s">
        <v>25</v>
      </c>
      <c r="AV15" t="s">
        <v>57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  <c r="AS16" t="s">
        <v>44</v>
      </c>
      <c r="AT16" t="s">
        <v>39</v>
      </c>
      <c r="AU16" t="s">
        <v>31</v>
      </c>
      <c r="AV16" t="s">
        <v>5</v>
      </c>
      <c r="AW16" t="s">
        <v>17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  <c r="AS17" t="s">
        <v>45</v>
      </c>
      <c r="AT17" t="s">
        <v>49</v>
      </c>
      <c r="AU17" t="s">
        <v>36</v>
      </c>
      <c r="AV17" t="s">
        <v>24</v>
      </c>
      <c r="AW17" t="s">
        <v>49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  <c r="AS18" t="s">
        <v>20</v>
      </c>
      <c r="AT18" t="s">
        <v>57</v>
      </c>
      <c r="AU18" t="s">
        <v>40</v>
      </c>
      <c r="AV18" t="s">
        <v>40</v>
      </c>
      <c r="AW18" t="s">
        <v>66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  <c r="AS19" t="s">
        <v>28</v>
      </c>
      <c r="AT19" t="s">
        <v>66</v>
      </c>
      <c r="AU19" t="s">
        <v>35</v>
      </c>
      <c r="AV19" t="s">
        <v>8</v>
      </c>
      <c r="AW19" t="s">
        <v>25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44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  <c r="AT20" t="s">
        <v>5</v>
      </c>
      <c r="AU20" t="s">
        <v>33</v>
      </c>
      <c r="AW20" t="s">
        <v>34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71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  <c r="AT21" t="s">
        <v>56</v>
      </c>
      <c r="AU21" t="s">
        <v>26</v>
      </c>
      <c r="AW21" t="s">
        <v>18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  <c r="AT22" t="s">
        <v>13</v>
      </c>
      <c r="AU22" t="s">
        <v>19</v>
      </c>
      <c r="AW22" t="s">
        <v>20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59</v>
      </c>
      <c r="AI23" t="s">
        <v>23</v>
      </c>
      <c r="AK23" t="s">
        <v>37</v>
      </c>
      <c r="AM23" t="s">
        <v>25</v>
      </c>
      <c r="AO23" t="s">
        <v>61</v>
      </c>
      <c r="AT23" t="s">
        <v>55</v>
      </c>
      <c r="AU23" t="s">
        <v>20</v>
      </c>
      <c r="AW23" t="s">
        <v>30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  <c r="AT25" t="s">
        <v>26</v>
      </c>
      <c r="BC25" t="s">
        <v>36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  <c r="AT26" t="s">
        <v>27</v>
      </c>
      <c r="BC26" t="s">
        <v>28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  <c r="AT27" t="s">
        <v>23</v>
      </c>
      <c r="BC27" t="s">
        <v>12</v>
      </c>
    </row>
    <row r="28" ht="15" customHeight="1" spans="30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14"/>
  <sheetViews>
    <sheetView workbookViewId="0" zoomScale="96" zoomScaleNormal="96">
      <selection activeCell="AB4" sqref="AB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114</v>
      </c>
      <c r="AI3" t="s">
        <v>95</v>
      </c>
      <c r="AJ3" t="s">
        <v>120</v>
      </c>
      <c r="AK3" t="s">
        <v>113</v>
      </c>
      <c r="AL3" t="s">
        <v>116</v>
      </c>
      <c r="AM3" t="s">
        <v>106</v>
      </c>
      <c r="AN3" t="s">
        <v>118</v>
      </c>
      <c r="AO3" t="s">
        <v>94</v>
      </c>
      <c r="AP3" t="s">
        <v>124</v>
      </c>
      <c r="AQ3" t="s">
        <v>125</v>
      </c>
      <c r="AR3" t="s">
        <v>115</v>
      </c>
      <c r="AS3" t="s">
        <v>92</v>
      </c>
      <c r="AT3" t="s">
        <v>104</v>
      </c>
      <c r="AU3" t="s">
        <v>119</v>
      </c>
      <c r="AV3" t="s">
        <v>103</v>
      </c>
      <c r="AW3" t="s">
        <v>110</v>
      </c>
      <c r="AX3" t="s">
        <v>111</v>
      </c>
      <c r="AY3" t="s">
        <v>128</v>
      </c>
      <c r="AZ3" t="s">
        <v>122</v>
      </c>
      <c r="BA3" t="s">
        <v>127</v>
      </c>
      <c r="BB3" t="s">
        <v>117</v>
      </c>
      <c r="BC3" t="s">
        <v>121</v>
      </c>
    </row>
    <row r="4" ht="15" customHeight="1" spans="1:55" x14ac:dyDescent="0.25">
      <c r="A4" t="s">
        <v>130</v>
      </c>
      <c r="B4" t="s">
        <v>131</v>
      </c>
      <c r="C4" t="s">
        <v>132</v>
      </c>
      <c r="D4" t="s">
        <v>133</v>
      </c>
      <c r="E4" t="s">
        <v>134</v>
      </c>
      <c r="F4" t="s">
        <v>135</v>
      </c>
      <c r="G4" t="s">
        <v>136</v>
      </c>
      <c r="H4" t="s">
        <v>137</v>
      </c>
      <c r="I4" t="s">
        <v>138</v>
      </c>
      <c r="J4" t="s">
        <v>139</v>
      </c>
      <c r="K4" t="s">
        <v>140</v>
      </c>
      <c r="L4" t="s">
        <v>141</v>
      </c>
      <c r="M4" t="s">
        <v>142</v>
      </c>
      <c r="N4" t="s">
        <v>143</v>
      </c>
      <c r="O4" t="s">
        <v>144</v>
      </c>
      <c r="P4" t="s">
        <v>145</v>
      </c>
      <c r="Q4" t="s">
        <v>146</v>
      </c>
      <c r="R4" t="s">
        <v>147</v>
      </c>
      <c r="S4" t="s">
        <v>148</v>
      </c>
      <c r="T4" t="s">
        <v>149</v>
      </c>
      <c r="U4" t="s">
        <v>150</v>
      </c>
      <c r="V4" t="s">
        <v>151</v>
      </c>
      <c r="W4" t="s">
        <v>152</v>
      </c>
      <c r="X4" t="s">
        <v>153</v>
      </c>
      <c r="Y4" t="s">
        <v>154</v>
      </c>
      <c r="Z4" t="s">
        <v>155</v>
      </c>
      <c r="AA4" t="s">
        <v>156</v>
      </c>
      <c r="AB4" t="s">
        <v>157</v>
      </c>
      <c r="AC4" t="s">
        <v>158</v>
      </c>
      <c r="AD4" t="s">
        <v>159</v>
      </c>
      <c r="AE4" t="s">
        <v>160</v>
      </c>
      <c r="AF4" t="s">
        <v>161</v>
      </c>
      <c r="AG4" t="s">
        <v>162</v>
      </c>
      <c r="AH4" t="s">
        <v>163</v>
      </c>
      <c r="AI4" t="s">
        <v>164</v>
      </c>
      <c r="AJ4" t="s">
        <v>165</v>
      </c>
      <c r="AK4" t="s">
        <v>166</v>
      </c>
      <c r="AL4" t="s">
        <v>167</v>
      </c>
      <c r="AM4" t="s">
        <v>168</v>
      </c>
      <c r="AN4" t="s">
        <v>169</v>
      </c>
      <c r="AO4" t="s">
        <v>170</v>
      </c>
      <c r="AP4" t="s">
        <v>158</v>
      </c>
      <c r="AQ4" t="s">
        <v>171</v>
      </c>
      <c r="AR4" t="s">
        <v>172</v>
      </c>
      <c r="AS4" t="s">
        <v>173</v>
      </c>
      <c r="AT4" t="s">
        <v>174</v>
      </c>
      <c r="AU4" t="s">
        <v>175</v>
      </c>
      <c r="AV4" t="s">
        <v>176</v>
      </c>
      <c r="AW4" t="s">
        <v>177</v>
      </c>
      <c r="AX4" t="s">
        <v>178</v>
      </c>
      <c r="AY4" t="s">
        <v>179</v>
      </c>
      <c r="AZ4" t="s">
        <v>180</v>
      </c>
      <c r="BA4" t="s">
        <v>181</v>
      </c>
      <c r="BB4" t="s">
        <v>182</v>
      </c>
      <c r="BC4" t="s">
        <v>183</v>
      </c>
    </row>
    <row r="5" ht="15" customHeight="1" spans="1:55" x14ac:dyDescent="0.25">
      <c r="A5" t="s">
        <v>184</v>
      </c>
      <c r="D5" t="s">
        <v>185</v>
      </c>
      <c r="F5" t="s">
        <v>186</v>
      </c>
      <c r="G5" t="s">
        <v>187</v>
      </c>
      <c r="H5" t="s">
        <v>188</v>
      </c>
      <c r="K5" t="s">
        <v>189</v>
      </c>
      <c r="L5" t="s">
        <v>190</v>
      </c>
      <c r="N5" t="s">
        <v>191</v>
      </c>
      <c r="P5" t="s">
        <v>192</v>
      </c>
      <c r="R5" t="s">
        <v>193</v>
      </c>
      <c r="T5" t="s">
        <v>194</v>
      </c>
      <c r="U5" t="s">
        <v>195</v>
      </c>
      <c r="V5" t="s">
        <v>196</v>
      </c>
      <c r="W5" t="s">
        <v>197</v>
      </c>
      <c r="Y5" t="s">
        <v>198</v>
      </c>
      <c r="Z5" t="s">
        <v>199</v>
      </c>
      <c r="AB5" t="s">
        <v>200</v>
      </c>
      <c r="AD5" t="s">
        <v>201</v>
      </c>
      <c r="AE5" t="s">
        <v>202</v>
      </c>
      <c r="AF5" t="s">
        <v>203</v>
      </c>
      <c r="AI5" t="s">
        <v>204</v>
      </c>
      <c r="AK5" t="s">
        <v>205</v>
      </c>
      <c r="AL5" t="s">
        <v>206</v>
      </c>
      <c r="AM5" t="s">
        <v>207</v>
      </c>
      <c r="AN5" t="s">
        <v>208</v>
      </c>
      <c r="AO5" t="s">
        <v>209</v>
      </c>
      <c r="AR5" t="s">
        <v>210</v>
      </c>
      <c r="AS5" t="s">
        <v>211</v>
      </c>
      <c r="AT5" t="s">
        <v>212</v>
      </c>
      <c r="AU5" t="s">
        <v>213</v>
      </c>
      <c r="AV5" t="s">
        <v>214</v>
      </c>
      <c r="AW5" t="s">
        <v>215</v>
      </c>
      <c r="AX5" t="s">
        <v>216</v>
      </c>
      <c r="AZ5" t="s">
        <v>217</v>
      </c>
      <c r="BA5" t="s">
        <v>218</v>
      </c>
      <c r="BB5" t="s">
        <v>219</v>
      </c>
      <c r="BC5" t="s">
        <v>220</v>
      </c>
    </row>
    <row r="6" ht="15" customHeight="1" spans="1:55" x14ac:dyDescent="0.25">
      <c r="A6" t="s">
        <v>221</v>
      </c>
      <c r="D6" t="s">
        <v>222</v>
      </c>
      <c r="F6" t="s">
        <v>223</v>
      </c>
      <c r="G6" t="s">
        <v>224</v>
      </c>
      <c r="H6" t="s">
        <v>225</v>
      </c>
      <c r="K6" t="s">
        <v>226</v>
      </c>
      <c r="L6" t="s">
        <v>227</v>
      </c>
      <c r="N6" t="s">
        <v>228</v>
      </c>
      <c r="P6" t="s">
        <v>229</v>
      </c>
      <c r="T6" t="s">
        <v>230</v>
      </c>
      <c r="V6" t="s">
        <v>231</v>
      </c>
      <c r="W6" t="s">
        <v>232</v>
      </c>
      <c r="Y6" t="s">
        <v>233</v>
      </c>
      <c r="Z6" t="s">
        <v>234</v>
      </c>
      <c r="AB6" t="s">
        <v>235</v>
      </c>
      <c r="AD6" t="s">
        <v>236</v>
      </c>
      <c r="AE6" t="s">
        <v>237</v>
      </c>
      <c r="AI6" t="s">
        <v>238</v>
      </c>
      <c r="AK6" t="s">
        <v>239</v>
      </c>
      <c r="AM6" t="s">
        <v>240</v>
      </c>
      <c r="AN6" t="s">
        <v>241</v>
      </c>
      <c r="AO6" t="s">
        <v>242</v>
      </c>
      <c r="AS6" t="s">
        <v>243</v>
      </c>
      <c r="AT6" t="s">
        <v>244</v>
      </c>
      <c r="AU6" t="s">
        <v>245</v>
      </c>
      <c r="AV6" t="s">
        <v>246</v>
      </c>
      <c r="AW6" t="s">
        <v>247</v>
      </c>
      <c r="AX6" t="s">
        <v>248</v>
      </c>
      <c r="AZ6" t="s">
        <v>249</v>
      </c>
      <c r="BA6" t="s">
        <v>250</v>
      </c>
      <c r="BB6" t="s">
        <v>251</v>
      </c>
      <c r="BC6" t="s">
        <v>252</v>
      </c>
    </row>
    <row r="7" ht="15" customHeight="1" spans="1:55" x14ac:dyDescent="0.25">
      <c r="A7" t="s">
        <v>253</v>
      </c>
      <c r="D7" t="s">
        <v>254</v>
      </c>
      <c r="F7" t="s">
        <v>255</v>
      </c>
      <c r="G7" t="s">
        <v>256</v>
      </c>
      <c r="H7" t="s">
        <v>257</v>
      </c>
      <c r="K7" t="s">
        <v>258</v>
      </c>
      <c r="L7" t="s">
        <v>259</v>
      </c>
      <c r="N7" t="s">
        <v>260</v>
      </c>
      <c r="P7" t="s">
        <v>261</v>
      </c>
      <c r="T7" t="s">
        <v>262</v>
      </c>
      <c r="V7" t="s">
        <v>263</v>
      </c>
      <c r="W7" t="s">
        <v>264</v>
      </c>
      <c r="Y7" t="s">
        <v>265</v>
      </c>
      <c r="Z7" t="s">
        <v>266</v>
      </c>
      <c r="AB7" t="s">
        <v>267</v>
      </c>
      <c r="AD7" t="s">
        <v>268</v>
      </c>
      <c r="AE7" t="s">
        <v>269</v>
      </c>
      <c r="AI7" t="s">
        <v>270</v>
      </c>
      <c r="AK7" t="s">
        <v>271</v>
      </c>
      <c r="AM7" t="s">
        <v>272</v>
      </c>
      <c r="AN7" t="s">
        <v>273</v>
      </c>
      <c r="AO7" t="s">
        <v>274</v>
      </c>
      <c r="AS7" t="s">
        <v>275</v>
      </c>
      <c r="AT7" t="s">
        <v>276</v>
      </c>
      <c r="AU7" t="s">
        <v>277</v>
      </c>
      <c r="AV7" t="s">
        <v>278</v>
      </c>
      <c r="AW7" t="s">
        <v>279</v>
      </c>
      <c r="AX7" t="s">
        <v>280</v>
      </c>
      <c r="AZ7" t="s">
        <v>281</v>
      </c>
      <c r="BC7" t="s">
        <v>282</v>
      </c>
    </row>
    <row r="8" ht="15" customHeight="1" spans="1:55" x14ac:dyDescent="0.25">
      <c r="A8" t="s">
        <v>283</v>
      </c>
      <c r="D8" t="s">
        <v>284</v>
      </c>
      <c r="F8" t="s">
        <v>285</v>
      </c>
      <c r="G8" t="s">
        <v>286</v>
      </c>
      <c r="H8" t="s">
        <v>287</v>
      </c>
      <c r="K8" t="s">
        <v>288</v>
      </c>
      <c r="L8" t="s">
        <v>289</v>
      </c>
      <c r="V8" t="s">
        <v>290</v>
      </c>
      <c r="W8" t="s">
        <v>291</v>
      </c>
      <c r="Y8" t="s">
        <v>292</v>
      </c>
      <c r="AB8" t="s">
        <v>293</v>
      </c>
      <c r="AD8" t="s">
        <v>294</v>
      </c>
      <c r="AE8" t="s">
        <v>295</v>
      </c>
      <c r="AI8" t="s">
        <v>296</v>
      </c>
      <c r="AK8" t="s">
        <v>297</v>
      </c>
      <c r="AM8" t="s">
        <v>298</v>
      </c>
      <c r="AO8" t="s">
        <v>299</v>
      </c>
      <c r="AT8" t="s">
        <v>300</v>
      </c>
      <c r="AU8" t="s">
        <v>301</v>
      </c>
      <c r="AW8" t="s">
        <v>302</v>
      </c>
      <c r="AZ8" t="s">
        <v>303</v>
      </c>
      <c r="BC8" t="s">
        <v>304</v>
      </c>
    </row>
    <row r="9" ht="15" customHeight="1" spans="7:55" x14ac:dyDescent="0.25">
      <c r="G9" t="s">
        <v>305</v>
      </c>
      <c r="L9" t="s">
        <v>306</v>
      </c>
      <c r="AD9" t="s">
        <v>307</v>
      </c>
      <c r="AE9" t="s">
        <v>308</v>
      </c>
      <c r="AK9" t="s">
        <v>309</v>
      </c>
      <c r="AO9" t="s">
        <v>310</v>
      </c>
      <c r="AT9" t="s">
        <v>311</v>
      </c>
      <c r="BC9" t="s">
        <v>312</v>
      </c>
    </row>
    <row r="10" ht="15" customHeight="1" spans="30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313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314</v>
      </c>
      <c r="B2" s="13"/>
      <c r="C2" s="14">
        <f>C1*4</f>
        <v>736</v>
      </c>
    </row>
    <row r="3" spans="1:8" x14ac:dyDescent="0.25">
      <c r="A3" s="15" t="s">
        <v>314</v>
      </c>
      <c r="B3" s="16">
        <f>COUNTIF(AHL!4:50, "&lt;&gt;")</f>
        <v>738</v>
      </c>
      <c r="E3" s="17" t="s">
        <v>315</v>
      </c>
      <c r="F3" s="13"/>
      <c r="G3" s="13"/>
      <c r="H3" s="13"/>
    </row>
    <row r="4" ht="15.75" customHeight="1" spans="1:12" x14ac:dyDescent="0.25">
      <c r="A4" s="18" t="s">
        <v>316</v>
      </c>
      <c r="B4" s="19">
        <f>SUMIF(AHL!2:2,"sl",AHL!1:1)</f>
        <v>106</v>
      </c>
      <c r="E4" t="s">
        <v>317</v>
      </c>
      <c r="F4" t="s">
        <v>318</v>
      </c>
      <c r="G4" t="s">
        <v>319</v>
      </c>
      <c r="H4" t="s">
        <v>320</v>
      </c>
      <c r="I4" t="s">
        <v>321</v>
      </c>
      <c r="J4" t="s">
        <v>322</v>
      </c>
      <c r="K4" t="s">
        <v>323</v>
      </c>
      <c r="L4" t="s">
        <v>324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316</v>
      </c>
      <c r="F5" s="21">
        <v>2</v>
      </c>
      <c r="G5" s="22">
        <f>F5/13</f>
        <v>0.15384615384615385</v>
      </c>
      <c r="H5" s="23">
        <f>B4/B3</f>
        <v>0.14363143631436315</v>
      </c>
      <c r="I5" s="24">
        <f>C2*G5</f>
        <v>113.23076923076924</v>
      </c>
      <c r="J5">
        <f>B4</f>
        <v>106</v>
      </c>
      <c r="K5" s="25">
        <f>J5-I5</f>
        <v>-7.230769230769241</v>
      </c>
      <c r="L5" s="26">
        <f>K5/4</f>
        <v>-1.8076923076923102</v>
      </c>
    </row>
    <row r="6" ht="15.75" customHeight="1" spans="1:12" x14ac:dyDescent="0.25">
      <c r="A6" s="18" t="s">
        <v>2</v>
      </c>
      <c r="B6" s="19">
        <f>SUMIF(AHL!2:2,"it",AHL!1:1)</f>
        <v>297</v>
      </c>
      <c r="E6" s="20" t="s">
        <v>1</v>
      </c>
      <c r="F6" s="21">
        <v>1</v>
      </c>
      <c r="G6" s="22">
        <f>F6/13</f>
        <v>0.07692307692307693</v>
      </c>
      <c r="H6" s="23">
        <f>B5/B3</f>
        <v>0.03116531165311653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312</v>
      </c>
      <c r="E7" s="29" t="s">
        <v>325</v>
      </c>
      <c r="F7" s="30">
        <v>3</v>
      </c>
      <c r="G7" s="31">
        <f t="shared" ref="G7:G9" si="1">F7/13</f>
        <v>0.23076923076923078</v>
      </c>
      <c r="H7" s="32">
        <f>(B5+B4)/B3</f>
        <v>0.17479674796747968</v>
      </c>
      <c r="I7" s="24">
        <f>C2*G7</f>
        <v>169.84615384615387</v>
      </c>
      <c r="J7">
        <f>B4+B5</f>
        <v>129</v>
      </c>
      <c r="K7" s="25">
        <f>J7-I7</f>
        <v>-40.84615384615387</v>
      </c>
      <c r="L7" s="26">
        <f>K7/4</f>
        <v>-10.211538461538467</v>
      </c>
    </row>
    <row r="8" ht="15.75" customHeight="1" spans="5:12" x14ac:dyDescent="0.25">
      <c r="E8" s="33" t="s">
        <v>326</v>
      </c>
      <c r="F8" s="34">
        <v>6</v>
      </c>
      <c r="G8" s="35">
        <f t="shared" si="1"/>
        <v>0.46153846153846156</v>
      </c>
      <c r="H8" s="36">
        <f>B6/B3</f>
        <v>0.4024390243902439</v>
      </c>
      <c r="I8" s="24">
        <f>C2*G8</f>
        <v>339.69230769230774</v>
      </c>
      <c r="J8">
        <f>B6</f>
        <v>297</v>
      </c>
      <c r="K8" s="25">
        <f>J8-I8</f>
        <v>-42.692307692307736</v>
      </c>
      <c r="L8" s="26">
        <f>K8/4</f>
        <v>-10.673076923076934</v>
      </c>
    </row>
    <row r="9" ht="15.75" customHeight="1" spans="1:12" x14ac:dyDescent="0.25">
      <c r="A9" t="s">
        <v>327</v>
      </c>
      <c r="B9">
        <f>SUM(B4:B7)</f>
        <v>738</v>
      </c>
      <c r="E9" s="33" t="s">
        <v>328</v>
      </c>
      <c r="F9" s="34">
        <v>4</v>
      </c>
      <c r="G9" s="35">
        <f t="shared" si="1"/>
        <v>0.3076923076923077</v>
      </c>
      <c r="H9" s="36">
        <f>B7/B3</f>
        <v>0.42276422764227645</v>
      </c>
      <c r="I9" s="24">
        <f>C2*G9</f>
        <v>226.46153846153848</v>
      </c>
      <c r="J9">
        <f>B7</f>
        <v>312</v>
      </c>
      <c r="K9" s="37">
        <f>J9-I9</f>
        <v>85.53846153846152</v>
      </c>
      <c r="L9" s="26">
        <f>K9/4</f>
        <v>21.38461538461538</v>
      </c>
    </row>
    <row r="11" spans="8:12" x14ac:dyDescent="0.25">
      <c r="H11" s="38" t="s">
        <v>329</v>
      </c>
      <c r="I11" s="39">
        <f>SUM(I7:I9)</f>
        <v>736.0000000000001</v>
      </c>
      <c r="J11" s="33">
        <f>SUM(J7:J9)</f>
        <v>738</v>
      </c>
      <c r="K11" s="40">
        <f>SUM(K7:K9)</f>
        <v>1.9999999999999147</v>
      </c>
      <c r="L11" s="41">
        <f>SUM(L7:L9)</f>
        <v>0.4999999999999787</v>
      </c>
    </row>
    <row r="16" ht="15.75" customHeight="1" spans="5:12" x14ac:dyDescent="0.25">
      <c r="E16" t="s">
        <v>330</v>
      </c>
      <c r="F16" t="s">
        <v>318</v>
      </c>
      <c r="G16" t="s">
        <v>331</v>
      </c>
      <c r="H16" t="s">
        <v>320</v>
      </c>
      <c r="I16" s="42" t="s">
        <v>321</v>
      </c>
      <c r="J16" s="42" t="s">
        <v>322</v>
      </c>
      <c r="K16" t="s">
        <v>323</v>
      </c>
      <c r="L16" t="s">
        <v>324</v>
      </c>
    </row>
    <row r="17" spans="5:12" x14ac:dyDescent="0.25">
      <c r="E17" s="43" t="s">
        <v>325</v>
      </c>
      <c r="F17" s="44">
        <v>3</v>
      </c>
      <c r="G17" s="45">
        <f t="shared" ref="G17:G19" si="2">F17/13</f>
        <v>0.23076923076923078</v>
      </c>
      <c r="H17" s="46">
        <f>(B5+B4)/B3</f>
        <v>0.17479674796747968</v>
      </c>
      <c r="I17" s="47">
        <f>B3*G17</f>
        <v>170.30769230769232</v>
      </c>
      <c r="J17" s="48">
        <f>B5+B4</f>
        <v>129</v>
      </c>
      <c r="K17" s="49">
        <f>J17-I17</f>
        <v>-41.30769230769232</v>
      </c>
      <c r="L17" s="26">
        <f>K17/4</f>
        <v>-10.32692307692308</v>
      </c>
    </row>
    <row r="18" spans="5:17" x14ac:dyDescent="0.25">
      <c r="E18" s="50" t="s">
        <v>326</v>
      </c>
      <c r="F18" s="51">
        <v>6</v>
      </c>
      <c r="G18" s="52">
        <f t="shared" si="2"/>
        <v>0.46153846153846156</v>
      </c>
      <c r="H18" s="53">
        <f>B6/B3</f>
        <v>0.4024390243902439</v>
      </c>
      <c r="I18" s="54">
        <f>B3*G18</f>
        <v>340.61538461538464</v>
      </c>
      <c r="J18" s="55">
        <f>B6</f>
        <v>297</v>
      </c>
      <c r="K18" s="56">
        <f>J18-I18</f>
        <v>-43.61538461538464</v>
      </c>
      <c r="L18" s="26">
        <f>K18/4</f>
        <v>-10.90384615384616</v>
      </c>
      <c r="Q18" s="57"/>
    </row>
    <row r="19" ht="15.75" customHeight="1" spans="5:12" x14ac:dyDescent="0.25">
      <c r="E19" s="58" t="s">
        <v>328</v>
      </c>
      <c r="F19" s="59">
        <v>4</v>
      </c>
      <c r="G19" s="60">
        <f t="shared" si="2"/>
        <v>0.3076923076923077</v>
      </c>
      <c r="H19" s="61">
        <f>B7/B3</f>
        <v>0.42276422764227645</v>
      </c>
      <c r="I19" s="62">
        <f>B3*G19</f>
        <v>227.0769230769231</v>
      </c>
      <c r="J19" s="63">
        <f>B7</f>
        <v>312</v>
      </c>
      <c r="K19" s="64">
        <f>J19-I19</f>
        <v>84.9230769230769</v>
      </c>
      <c r="L19" s="26">
        <f>K19/4</f>
        <v>21.230769230769226</v>
      </c>
    </row>
    <row r="24" ht="15.75" customHeight="1" spans="5:19" x14ac:dyDescent="0.25">
      <c r="E24" s="13"/>
      <c r="F24" s="13"/>
      <c r="P24" s="65" t="s">
        <v>332</v>
      </c>
      <c r="Q24" s="65"/>
      <c r="R24" s="65"/>
      <c r="S24" s="65"/>
    </row>
    <row r="25" ht="75.75" customHeight="1" spans="16:19" x14ac:dyDescent="0.25">
      <c r="P25" s="66"/>
      <c r="Q25" s="67" t="s">
        <v>333</v>
      </c>
      <c r="R25" s="68" t="s">
        <v>334</v>
      </c>
      <c r="S25" s="69" t="s">
        <v>323</v>
      </c>
    </row>
    <row r="26" spans="16:19" x14ac:dyDescent="0.25">
      <c r="P26" s="70" t="s">
        <v>326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325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328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2024-11-20T13:59:14Z</dcterms:modified>
</cp:coreProperties>
</file>