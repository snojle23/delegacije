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2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<sst xmlns="http://schemas.openxmlformats.org/spreadsheetml/2006/main" count="269" uniqueCount="89">
  <si>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</si>
  <si>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</si>
  <si>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</si>
  <si>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</si>
  <si>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</si>
  <si>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</si>
  <si>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</si>
  <si>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</si>
  <si>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RuetzMa</t>
  </si>
  <si>
    <t>WinklerDa</t>
  </si>
  <si>
    <t>DivisDo</t>
  </si>
  <si>
    <t>WendnerMa</t>
  </si>
  <si>
    <t>Huber rRe</t>
  </si>
  <si>
    <t>PirasAn</t>
  </si>
  <si>
    <t>IlmerNo</t>
  </si>
  <si>
    <t>StrimitzerDa</t>
  </si>
  <si>
    <t>BrockAd</t>
  </si>
  <si>
    <t>LazzeriAl</t>
  </si>
  <si>
    <t>GrisentiLu</t>
  </si>
  <si>
    <t>PreiserJu</t>
  </si>
  <si>
    <t>BenvegnuAn</t>
  </si>
  <si>
    <t>RivisFe</t>
  </si>
  <si>
    <t>BrondiMa</t>
  </si>
  <si>
    <t>RivisAn</t>
  </si>
  <si>
    <t>BulovecMi</t>
  </si>
  <si>
    <t>UnterwegerDo</t>
  </si>
  <si>
    <t>MiklicGr</t>
  </si>
  <si>
    <t>WuchererGe</t>
  </si>
  <si>
    <t>BergantAn</t>
  </si>
  <si>
    <t>LebenJa</t>
  </si>
  <si>
    <t>JeramFi</t>
  </si>
  <si>
    <t>RinkerDa</t>
  </si>
  <si>
    <t>VeselkaMa</t>
  </si>
  <si>
    <t>SnojTa</t>
  </si>
  <si>
    <t>SpiegelSe</t>
  </si>
  <si>
    <t>MarkizetiGr</t>
  </si>
  <si>
    <t>OrelSt</t>
  </si>
  <si>
    <t>HolzerTo</t>
  </si>
  <si>
    <t>Steiner fFe</t>
  </si>
  <si>
    <t>2025-09-20</t>
  </si>
  <si>
    <t>2025-09-21</t>
  </si>
  <si>
    <t>2025-09-26</t>
  </si>
  <si>
    <t>2025-09-27</t>
  </si>
  <si>
    <t>2025-09-25</t>
  </si>
  <si>
    <t>2025-10-01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</si>
  <si>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</si>
  <si>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</si>
  <si>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</si>
  <si>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Ritten;MoschenAn;PinieOm;CusinFe;IlmerNo</t>
  </si>
  <si>
    <t>Eisarena Salzburg;OrelSt;SpiegelSe;RinkerDa;WuchererGe</t>
  </si>
  <si>
    <t>Eishalle Dornbirn;HolzerTo;WinklerDa;DivisDo;RinkerDa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</si>
  <si>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</si>
  <si>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</si>
  <si>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</si>
  <si>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Eisarena Salzburg;RuetzMa;WinklerDa;DivisDo;WendnerMa</t>
  </si>
  <si>
    <t>Eishalle Meran;VirtaTu;WinklerDa;AbeltinoSi;RinkerDa</t>
  </si>
  <si>
    <t>Eishalle Sterzing;LebenJa;SnojTa;MarkizetiGr;MiklicGr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</si>
  <si>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</si>
  <si>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</si>
  <si>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</si>
  <si>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KELIT Arena Zell am See;BrockAd;LazzeriAl;GrisentiLu;PreiserJu</t>
  </si>
  <si>
    <t>Eishalle Asiago;PirasAn;RivisFe;GrisentiLu;RivisAn</t>
  </si>
  <si>
    <t>Eishalle Gröden;BenvegnuAn;StefenelliFe;FecchioFe;GrisentiLu</t>
  </si>
  <si>
    <t>Eishalle Cortina;SnojTa;SpiegelSe;MarkizetiGr;StrimitzerDa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</si>
  <si>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</si>
  <si>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</si>
  <si>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</si>
  <si>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</si>
  <si>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</si>
  <si>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</si>
  <si>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</si>
  <si>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</si>
  <si>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</si>
  <si>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</si>
  <si>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</si>
  <si>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</si>
  <si>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</si>
  <si>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it</t>
  </si>
  <si>
    <t>au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</si>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</sst>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2" borderId="10" xfId="0" applyFill="1" applyBorder="1"/>
    <xf numFmtId="0" fontId="0" fillId="2" borderId="10" xfId="0" applyFill="1" applyBorder="1" applyAlignment="1">
      <alignment horizontal="center"/>
    </xf>
    <xf numFmtId="10" fontId="0" fillId="2" borderId="11" xfId="0" applyNumberFormat="1" applyFill="1" applyBorder="1" applyAlignment="1">
      <alignment horizontal="center"/>
    </xf>
    <xf numFmtId="10" fontId="0" fillId="2" borderId="1" xfId="0" applyNumberFormat="1" applyFill="1" applyBorder="1"/>
    <xf numFmtId="1" fontId="0" fillId="3" borderId="10" xfId="0" applyNumberFormat="1" applyFill="1" applyBorder="1"/>
    <xf numFmtId="1" fontId="2" fillId="4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6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5" borderId="6" xfId="0" applyFill="1" applyBorder="1"/>
    <xf numFmtId="0" fontId="0" fillId="5" borderId="18" xfId="0" applyFill="1" applyBorder="1" applyAlignment="1">
      <alignment horizontal="center"/>
    </xf>
    <xf numFmtId="10" fontId="0" fillId="5" borderId="18" xfId="0" applyNumberFormat="1" applyFill="1" applyBorder="1" applyAlignment="1">
      <alignment horizontal="center"/>
    </xf>
    <xf numFmtId="10" fontId="0" fillId="5" borderId="18" xfId="0" applyNumberFormat="1" applyFill="1" applyBorder="1"/>
    <xf numFmtId="1" fontId="4" fillId="5" borderId="18" xfId="0" applyNumberFormat="1" applyFont="1" applyFill="1" applyBorder="1" applyAlignment="1">
      <alignment horizontal="center"/>
    </xf>
    <xf numFmtId="0" fontId="4" fillId="5" borderId="18" xfId="0" applyFont="1" applyFill="1" applyBorder="1" applyAlignment="1">
      <alignment horizontal="center"/>
    </xf>
    <xf numFmtId="1" fontId="2" fillId="4" borderId="7" xfId="0" applyNumberFormat="1" applyFont="1" applyFill="1" applyBorder="1" applyAlignment="1">
      <alignment horizontal="center"/>
    </xf>
    <xf numFmtId="0" fontId="0" fillId="7" borderId="8" xfId="0" applyFill="1" applyBorder="1"/>
    <xf numFmtId="0" fontId="0" fillId="7" borderId="10" xfId="0" applyFill="1" applyBorder="1" applyAlignment="1">
      <alignment horizontal="center"/>
    </xf>
    <xf numFmtId="10" fontId="0" fillId="7" borderId="10" xfId="0" applyNumberFormat="1" applyFill="1" applyBorder="1" applyAlignment="1">
      <alignment horizontal="center"/>
    </xf>
    <xf numFmtId="10" fontId="0" fillId="7" borderId="10" xfId="0" applyNumberFormat="1" applyFill="1" applyBorder="1"/>
    <xf numFmtId="1" fontId="4" fillId="7" borderId="10" xfId="0" applyNumberFormat="1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1" fontId="2" fillId="4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8" borderId="12" xfId="0" applyFill="1" applyBorder="1"/>
    <xf numFmtId="0" fontId="0" fillId="8" borderId="19" xfId="0" applyFill="1" applyBorder="1" applyAlignment="1">
      <alignment horizontal="center"/>
    </xf>
    <xf numFmtId="10" fontId="0" fillId="8" borderId="19" xfId="0" applyNumberFormat="1" applyFill="1" applyBorder="1" applyAlignment="1">
      <alignment horizontal="center"/>
    </xf>
    <xf numFmtId="10" fontId="0" fillId="8" borderId="19" xfId="0" applyNumberFormat="1" applyFill="1" applyBorder="1"/>
    <xf numFmtId="1" fontId="4" fillId="8" borderId="19" xfId="0" applyNumberFormat="1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1" fontId="3" fillId="6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9" borderId="0" xfId="0" applyFill="1"/>
    <xf numFmtId="9" fontId="0" fillId="9" borderId="0" xfId="0" applyNumberFormat="1" applyFill="1"/>
    <xf numFmtId="0" fontId="4" fillId="9" borderId="0" xfId="0" applyFont="1" applyFill="1"/>
    <xf numFmtId="1" fontId="0" fillId="0" borderId="0" xfId="0" applyNumberFormat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73"/>
  <sheetViews>
    <sheetView workbookViewId="0" zoomScale="100" zoomScaleNormal="100">
      <selection activeCell="M10" sqref="M10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3" ht="15" customHeight="1" spans="1:4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</row>
    <row r="4" ht="15" customHeight="1" spans="1:39" x14ac:dyDescent="0.25">
      <c r="A4" t="s">
        <v>39</v>
      </c>
      <c r="B4" t="s">
        <v>39</v>
      </c>
      <c r="C4" t="s">
        <v>39</v>
      </c>
      <c r="D4" t="s">
        <v>39</v>
      </c>
      <c r="E4" t="s">
        <v>39</v>
      </c>
      <c r="F4" t="s">
        <v>39</v>
      </c>
      <c r="G4" t="s">
        <v>39</v>
      </c>
      <c r="H4" t="s">
        <v>39</v>
      </c>
      <c r="I4" t="s">
        <v>39</v>
      </c>
      <c r="J4" t="s">
        <v>39</v>
      </c>
      <c r="K4" t="s">
        <v>39</v>
      </c>
      <c r="L4" t="s">
        <v>39</v>
      </c>
      <c r="M4" t="s">
        <v>39</v>
      </c>
      <c r="N4" t="s">
        <v>39</v>
      </c>
      <c r="O4" t="s">
        <v>39</v>
      </c>
      <c r="P4" t="s">
        <v>39</v>
      </c>
      <c r="Q4" t="s">
        <v>39</v>
      </c>
      <c r="R4" t="s">
        <v>39</v>
      </c>
      <c r="S4" t="s">
        <v>39</v>
      </c>
      <c r="T4" t="s">
        <v>39</v>
      </c>
      <c r="U4" t="s">
        <v>40</v>
      </c>
      <c r="V4" t="s">
        <v>40</v>
      </c>
      <c r="W4" t="s">
        <v>40</v>
      </c>
      <c r="X4" t="s">
        <v>40</v>
      </c>
      <c r="Y4" t="s">
        <v>41</v>
      </c>
      <c r="Z4" t="s">
        <v>41</v>
      </c>
      <c r="AA4" t="s">
        <v>41</v>
      </c>
      <c r="AB4" t="s">
        <v>41</v>
      </c>
      <c r="AC4" t="s">
        <v>42</v>
      </c>
      <c r="AD4" t="s">
        <v>42</v>
      </c>
      <c r="AE4" t="s">
        <v>42</v>
      </c>
      <c r="AF4" t="s">
        <v>42</v>
      </c>
      <c r="AG4" t="s">
        <v>42</v>
      </c>
      <c r="AH4" t="s">
        <v>42</v>
      </c>
      <c r="AI4" t="s">
        <v>42</v>
      </c>
      <c r="AJ4" t="s">
        <v>42</v>
      </c>
      <c r="AK4" t="s">
        <v>43</v>
      </c>
      <c r="AL4" t="s">
        <v>43</v>
      </c>
      <c r="AM4" t="s">
        <v>43</v>
      </c>
    </row>
    <row r="5" ht="15" customHeight="1" spans="1:39" x14ac:dyDescent="0.25">
      <c r="A5" t="s">
        <v>42</v>
      </c>
      <c r="B5" t="s">
        <v>43</v>
      </c>
      <c r="C5" t="s">
        <v>42</v>
      </c>
      <c r="D5" t="s">
        <v>43</v>
      </c>
      <c r="E5" t="s">
        <v>42</v>
      </c>
      <c r="F5" t="s">
        <v>42</v>
      </c>
      <c r="G5" t="s">
        <v>42</v>
      </c>
      <c r="H5" t="s">
        <v>43</v>
      </c>
      <c r="I5" t="s">
        <v>42</v>
      </c>
      <c r="J5" t="s">
        <v>42</v>
      </c>
      <c r="K5" t="s">
        <v>44</v>
      </c>
      <c r="M5" t="s">
        <v>43</v>
      </c>
      <c r="N5" t="s">
        <v>42</v>
      </c>
      <c r="O5" t="s">
        <v>42</v>
      </c>
      <c r="P5" t="s">
        <v>42</v>
      </c>
      <c r="Q5" t="s">
        <v>42</v>
      </c>
      <c r="R5" t="s">
        <v>43</v>
      </c>
      <c r="S5" t="s">
        <v>42</v>
      </c>
      <c r="T5" t="s">
        <v>42</v>
      </c>
      <c r="U5" t="s">
        <v>43</v>
      </c>
      <c r="V5" t="s">
        <v>42</v>
      </c>
      <c r="X5" t="s">
        <v>42</v>
      </c>
      <c r="AA5" t="s">
        <v>42</v>
      </c>
      <c r="AB5" t="s">
        <v>43</v>
      </c>
      <c r="AC5" t="s">
        <v>43</v>
      </c>
      <c r="AD5" t="s">
        <v>43</v>
      </c>
      <c r="AE5" t="s">
        <v>43</v>
      </c>
      <c r="AF5" t="s">
        <v>43</v>
      </c>
      <c r="AG5" t="s">
        <v>43</v>
      </c>
      <c r="AH5" t="s">
        <v>43</v>
      </c>
      <c r="AI5" t="s">
        <v>43</v>
      </c>
      <c r="AJ5" t="s">
        <v>43</v>
      </c>
      <c r="AL5" t="s">
        <v>44</v>
      </c>
    </row>
    <row r="6" ht="15" customHeight="1" spans="1:38" x14ac:dyDescent="0.25">
      <c r="J6" t="s">
        <v>44</v>
      </c>
      <c r="S6" t="s">
        <v>43</v>
      </c>
      <c r="AA6" t="s">
        <v>43</v>
      </c>
      <c r="AF6" t="s">
        <v>44</v>
      </c>
    </row>
    <row r="7" ht="15" customHeight="1" spans="10:32" x14ac:dyDescent="0.25"/>
    <row r="8" ht="15" customHeight="1" x14ac:dyDescent="0.25"/>
    <row r="9" ht="15" customHeight="1" x14ac:dyDescent="0.25"/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6" x14ac:dyDescent="0.2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</row>
    <row r="4" ht="15" customHeight="1" spans="1:6" x14ac:dyDescent="0.25">
      <c r="A4" t="s">
        <v>0</v>
      </c>
      <c r="B4" t="s">
        <v>20</v>
      </c>
      <c r="C4" t="s">
        <v>24</v>
      </c>
      <c r="D4" t="s">
        <v>0</v>
      </c>
      <c r="E4" t="s">
        <v>36</v>
      </c>
      <c r="F4" t="s">
        <v>37</v>
      </c>
    </row>
    <row r="5" ht="15" customHeight="1" spans="1:6" x14ac:dyDescent="0.25">
      <c r="A5" t="s">
        <v>1</v>
      </c>
      <c r="B5" t="s">
        <v>21</v>
      </c>
      <c r="C5" t="s">
        <v>25</v>
      </c>
      <c r="D5" t="s">
        <v>4</v>
      </c>
      <c r="E5" t="s">
        <v>34</v>
      </c>
      <c r="F5" t="s">
        <v>9</v>
      </c>
    </row>
    <row r="6" ht="15" customHeight="1" spans="1:6" x14ac:dyDescent="0.25">
      <c r="A6" t="s">
        <v>2</v>
      </c>
      <c r="B6" t="s">
        <v>22</v>
      </c>
      <c r="C6" t="s">
        <v>26</v>
      </c>
      <c r="D6" t="s">
        <v>6</v>
      </c>
      <c r="E6" t="s">
        <v>31</v>
      </c>
      <c r="F6" t="s">
        <v>10</v>
      </c>
    </row>
    <row r="7" ht="15" customHeight="1" spans="1:6" x14ac:dyDescent="0.25">
      <c r="A7" t="s">
        <v>3</v>
      </c>
      <c r="B7" t="s">
        <v>23</v>
      </c>
      <c r="C7" t="s">
        <v>27</v>
      </c>
      <c r="D7" t="s">
        <v>14</v>
      </c>
      <c r="E7" t="s">
        <v>27</v>
      </c>
      <c r="F7" t="s">
        <v>31</v>
      </c>
    </row>
    <row r="8" ht="15" customHeight="1" spans="1:6" x14ac:dyDescent="0.25">
      <c r="A8" t="s">
        <v>4</v>
      </c>
      <c r="D8" t="s">
        <v>28</v>
      </c>
      <c r="E8" t="s">
        <v>37</v>
      </c>
    </row>
    <row r="9" ht="15" customHeight="1" spans="1:5" x14ac:dyDescent="0.25">
      <c r="A9" t="s">
        <v>5</v>
      </c>
      <c r="D9" t="s">
        <v>29</v>
      </c>
      <c r="E9" t="s">
        <v>12</v>
      </c>
    </row>
    <row r="10" ht="15" customHeight="1" spans="1:5" x14ac:dyDescent="0.25">
      <c r="A10" t="s">
        <v>6</v>
      </c>
      <c r="D10" t="s">
        <v>30</v>
      </c>
      <c r="E10" t="s">
        <v>38</v>
      </c>
    </row>
    <row r="11" ht="15" customHeight="1" spans="1:5" x14ac:dyDescent="0.25">
      <c r="A11" t="s">
        <v>7</v>
      </c>
      <c r="D11" t="s">
        <v>26</v>
      </c>
      <c r="E11" t="s">
        <v>32</v>
      </c>
    </row>
    <row r="12" ht="15" customHeight="1" spans="1:5" x14ac:dyDescent="0.25">
      <c r="A12" t="s">
        <v>8</v>
      </c>
      <c r="D12" t="s">
        <v>5</v>
      </c>
      <c r="E12" t="s">
        <v>29</v>
      </c>
    </row>
    <row r="13" ht="15" customHeight="1" spans="1:5" x14ac:dyDescent="0.25">
      <c r="A13" t="s">
        <v>9</v>
      </c>
      <c r="D13" t="s">
        <v>9</v>
      </c>
      <c r="E13" t="s">
        <v>33</v>
      </c>
    </row>
    <row r="14" ht="15" customHeight="1" spans="1:5" x14ac:dyDescent="0.25">
      <c r="A14" t="s">
        <v>10</v>
      </c>
      <c r="D14" t="s">
        <v>2</v>
      </c>
      <c r="E14" t="s">
        <v>35</v>
      </c>
    </row>
    <row r="15" ht="15" customHeight="1" spans="1:5" x14ac:dyDescent="0.25">
      <c r="A15" t="s">
        <v>11</v>
      </c>
      <c r="D15" t="s">
        <v>31</v>
      </c>
      <c r="E15" t="s">
        <v>26</v>
      </c>
    </row>
    <row r="16" ht="15" customHeight="1" spans="1:5" x14ac:dyDescent="0.25">
      <c r="A16" t="s">
        <v>12</v>
      </c>
      <c r="D16" t="s">
        <v>16</v>
      </c>
      <c r="E16" t="s">
        <v>28</v>
      </c>
    </row>
    <row r="17" ht="15" customHeight="1" spans="1:5" x14ac:dyDescent="0.25">
      <c r="A17" t="s">
        <v>13</v>
      </c>
      <c r="D17" t="s">
        <v>8</v>
      </c>
      <c r="E17" t="s">
        <v>17</v>
      </c>
    </row>
    <row r="18" ht="15" customHeight="1" spans="1:5" x14ac:dyDescent="0.25">
      <c r="A18" t="s">
        <v>14</v>
      </c>
      <c r="D18" t="s">
        <v>19</v>
      </c>
      <c r="E18" t="s">
        <v>3</v>
      </c>
    </row>
    <row r="19" ht="15" customHeight="1" spans="1:5" x14ac:dyDescent="0.25">
      <c r="A19" t="s">
        <v>15</v>
      </c>
      <c r="D19" t="s">
        <v>32</v>
      </c>
      <c r="E19" t="s">
        <v>30</v>
      </c>
    </row>
    <row r="20" ht="15" customHeight="1" spans="1:5" x14ac:dyDescent="0.25">
      <c r="A20" t="s">
        <v>16</v>
      </c>
      <c r="D20" t="s">
        <v>13</v>
      </c>
      <c r="E20" t="s">
        <v>20</v>
      </c>
    </row>
    <row r="21" ht="15" customHeight="1" spans="1:5" x14ac:dyDescent="0.25">
      <c r="A21" t="s">
        <v>17</v>
      </c>
      <c r="D21" t="s">
        <v>21</v>
      </c>
      <c r="E21" t="s">
        <v>1</v>
      </c>
    </row>
    <row r="22" ht="15" customHeight="1" spans="1:5" x14ac:dyDescent="0.25">
      <c r="A22" t="s">
        <v>18</v>
      </c>
      <c r="D22" t="s">
        <v>18</v>
      </c>
      <c r="E22" t="s">
        <v>7</v>
      </c>
    </row>
    <row r="23" ht="15" customHeight="1" spans="1:5" x14ac:dyDescent="0.25">
      <c r="A23" t="s">
        <v>19</v>
      </c>
      <c r="D23" t="s">
        <v>23</v>
      </c>
      <c r="E23" t="s">
        <v>18</v>
      </c>
    </row>
    <row r="24" ht="15" customHeight="1" spans="1:5" x14ac:dyDescent="0.25">
      <c r="D24" t="s">
        <v>33</v>
      </c>
    </row>
    <row r="25" ht="15" customHeight="1" spans="4:4" x14ac:dyDescent="0.25">
      <c r="D25" t="s">
        <v>34</v>
      </c>
    </row>
    <row r="26" ht="15" customHeight="1" spans="4:4" x14ac:dyDescent="0.25">
      <c r="D26" t="s">
        <v>35</v>
      </c>
    </row>
    <row r="27" ht="15" customHeight="1" spans="4:4" x14ac:dyDescent="0.25">
      <c r="D27" t="s">
        <v>15</v>
      </c>
    </row>
    <row r="28" ht="15" customHeight="1" spans="4:4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4"/>
  <sheetViews>
    <sheetView workbookViewId="0" zoomScale="96" zoomScaleNormal="96">
      <selection activeCell="CW26" sqref="CW2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6" x14ac:dyDescent="0.2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</row>
    <row r="4" ht="15" customHeight="1" spans="1:6" x14ac:dyDescent="0.25">
      <c r="A4" t="s">
        <v>45</v>
      </c>
      <c r="B4" t="s">
        <v>46</v>
      </c>
      <c r="C4" t="s">
        <v>47</v>
      </c>
      <c r="D4" t="s">
        <v>48</v>
      </c>
      <c r="E4" t="s">
        <v>49</v>
      </c>
      <c r="F4" t="s">
        <v>50</v>
      </c>
    </row>
    <row r="5" ht="15" customHeight="1" spans="1:6" x14ac:dyDescent="0.25">
      <c r="A5" t="s">
        <v>51</v>
      </c>
      <c r="D5" t="s">
        <v>52</v>
      </c>
      <c r="E5" t="s">
        <v>53</v>
      </c>
    </row>
    <row r="6" ht="15" customHeight="1" spans="1:5" x14ac:dyDescent="0.25">
      <c r="A6" t="s">
        <v>54</v>
      </c>
      <c r="D6" t="s">
        <v>55</v>
      </c>
      <c r="E6" t="s">
        <v>56</v>
      </c>
    </row>
    <row r="7" ht="15" customHeight="1" spans="1:5" x14ac:dyDescent="0.25">
      <c r="A7" t="s">
        <v>57</v>
      </c>
      <c r="D7" t="s">
        <v>58</v>
      </c>
      <c r="E7" t="s">
        <v>59</v>
      </c>
    </row>
    <row r="8" ht="15" customHeight="1" spans="1:5" x14ac:dyDescent="0.25">
      <c r="A8" t="s">
        <v>60</v>
      </c>
      <c r="D8" t="s">
        <v>61</v>
      </c>
      <c r="E8" t="s">
        <v>62</v>
      </c>
    </row>
    <row r="9" ht="15" customHeight="1" spans="1:5" x14ac:dyDescent="0.25">
      <c r="D9" t="s">
        <v>63</v>
      </c>
    </row>
    <row r="10" ht="15" customHeight="1" spans="4:4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C6" sqref="C6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1" t="s">
        <v>64</v>
      </c>
      <c r="B1" s="2"/>
      <c r="C1" s="3">
        <f>COUNTIF(AHL_DAT_STRING!4:18,"&lt;&gt;")</f>
        <v>0</v>
      </c>
    </row>
    <row r="2" ht="15.75" customHeight="1" spans="1:3" x14ac:dyDescent="0.25">
      <c r="A2" s="4" t="s">
        <v>65</v>
      </c>
      <c r="B2" s="5"/>
      <c r="C2" s="6">
        <f>C1*4</f>
        <v>0</v>
      </c>
    </row>
    <row r="3" spans="1:8" x14ac:dyDescent="0.25">
      <c r="A3" s="7" t="s">
        <v>65</v>
      </c>
      <c r="B3" s="8">
        <f>COUNTIF(AHL!4:50, "&lt;&gt;")</f>
        <v>0</v>
      </c>
      <c r="E3" s="9" t="s">
        <v>66</v>
      </c>
      <c r="F3" s="5"/>
      <c r="G3" s="5"/>
      <c r="H3" s="5"/>
    </row>
    <row r="4" ht="15.75" customHeight="1" spans="1:12" x14ac:dyDescent="0.25">
      <c r="A4" s="10" t="s">
        <v>67</v>
      </c>
      <c r="B4" s="11">
        <f>SUMIF(AHL!2:2,"sl",AHL!1:1)</f>
        <v>0</v>
      </c>
      <c r="C4">
        <f>AHL!I1</f>
        <v>0</v>
      </c>
      <c r="E4" t="s">
        <v>68</v>
      </c>
      <c r="F4" t="s">
        <v>69</v>
      </c>
      <c r="G4" t="s">
        <v>70</v>
      </c>
      <c r="H4" t="s">
        <v>71</v>
      </c>
      <c r="I4" t="s">
        <v>72</v>
      </c>
      <c r="J4" t="s">
        <v>73</v>
      </c>
      <c r="K4" t="s">
        <v>74</v>
      </c>
      <c r="L4" t="s">
        <v>75</v>
      </c>
    </row>
    <row r="5" ht="15.75" customHeight="1" spans="1:12" x14ac:dyDescent="0.25">
      <c r="A5" s="10" t="s">
        <v>76</v>
      </c>
      <c r="B5" s="11">
        <f>SUMIF(AHL!2:2,"hr",AHL!1:1)</f>
        <v>0</v>
      </c>
      <c r="E5" s="12" t="s">
        <v>67</v>
      </c>
      <c r="F5" s="13">
        <v>2</v>
      </c>
      <c r="G5" s="14">
        <f>F5/13</f>
        <v>0.15384615384615385</v>
      </c>
      <c r="H5" s="15" t="e">
        <f>B4/B3</f>
        <v>#DIV/0!</v>
      </c>
      <c r="I5" s="16">
        <f>C2*G5</f>
        <v>0</v>
      </c>
      <c r="J5">
        <f>B4</f>
        <v>0</v>
      </c>
      <c r="K5" s="17">
        <f>J5-I5</f>
        <v>0</v>
      </c>
      <c r="L5" s="18">
        <f>K5/4</f>
        <v>0</v>
      </c>
    </row>
    <row r="6" ht="15.75" customHeight="1" spans="1:12" x14ac:dyDescent="0.25">
      <c r="A6" s="10" t="s">
        <v>77</v>
      </c>
      <c r="B6" s="11">
        <f>SUMIF(AHL!2:2,"it",AHL!1:1)</f>
        <v>0</v>
      </c>
      <c r="C6">
        <f>AHL!X1</f>
        <v>0</v>
      </c>
      <c r="E6" s="12" t="s">
        <v>76</v>
      </c>
      <c r="F6" s="13">
        <v>1</v>
      </c>
      <c r="G6" s="14">
        <f>F6/13</f>
        <v>0.07692307692307693</v>
      </c>
      <c r="H6" s="15" t="e">
        <f>B5/B3</f>
        <v>#DIV/0!</v>
      </c>
      <c r="I6" s="16">
        <f>C2*G6</f>
        <v>0</v>
      </c>
      <c r="J6">
        <f>B5</f>
        <v>0</v>
      </c>
      <c r="K6" s="17">
        <f>J6-I6</f>
        <v>0</v>
      </c>
      <c r="L6" s="18">
        <f t="shared" ref="L6" si="0">K6/4</f>
        <v>0</v>
      </c>
    </row>
    <row r="7" ht="15.75" customHeight="1" spans="1:12" x14ac:dyDescent="0.25">
      <c r="A7" s="19" t="s">
        <v>78</v>
      </c>
      <c r="B7" s="20">
        <f>SUMIF(AHL!2:2,"au",AHL!1:1)</f>
        <v>0</v>
      </c>
      <c r="C7">
        <f>SUM(AHL!AL1,AHL!AU1,AHL!BA1,AHL!BE1,AHL!BF1,AHL!BG1,AHL!BH1,AHL!BD1)</f>
        <v>0</v>
      </c>
      <c r="E7" s="21" t="s">
        <v>79</v>
      </c>
      <c r="F7" s="22">
        <v>3</v>
      </c>
      <c r="G7" s="23">
        <f t="shared" ref="G7:G9" si="1">F7/13</f>
        <v>0.23076923076923078</v>
      </c>
      <c r="H7" s="24" t="e">
        <f>(B5+B4)/B3</f>
        <v>#DIV/0!</v>
      </c>
      <c r="I7" s="16">
        <f>C2*G7</f>
        <v>0</v>
      </c>
      <c r="J7">
        <f>B4+B5</f>
        <v>0</v>
      </c>
      <c r="K7" s="17">
        <f>J7-I7</f>
        <v>0</v>
      </c>
      <c r="L7" s="18">
        <f>K7/4</f>
        <v>0</v>
      </c>
    </row>
    <row r="8" ht="15.75" customHeight="1" spans="1:12" x14ac:dyDescent="0.25">
      <c r="A8" s="25" t="s">
        <v>80</v>
      </c>
      <c r="C8">
        <f>SUM(C4:C7)</f>
        <v>0</v>
      </c>
      <c r="E8" s="26" t="s">
        <v>81</v>
      </c>
      <c r="F8" s="27">
        <v>6</v>
      </c>
      <c r="G8" s="28">
        <f t="shared" si="1"/>
        <v>0.46153846153846156</v>
      </c>
      <c r="H8" s="29" t="e">
        <f>B6/B3</f>
        <v>#DIV/0!</v>
      </c>
      <c r="I8" s="16">
        <f>C2*G8</f>
        <v>0</v>
      </c>
      <c r="J8">
        <f>B6</f>
        <v>0</v>
      </c>
      <c r="K8" s="17">
        <f>J8-I8</f>
        <v>0</v>
      </c>
      <c r="L8" s="18">
        <f>K8/4</f>
        <v>0</v>
      </c>
    </row>
    <row r="9" ht="15.75" customHeight="1" spans="1:12" x14ac:dyDescent="0.25">
      <c r="A9" t="s">
        <v>82</v>
      </c>
      <c r="B9">
        <f>SUM(B4:B7)</f>
        <v>0</v>
      </c>
      <c r="E9" s="26" t="s">
        <v>83</v>
      </c>
      <c r="F9" s="27">
        <v>4</v>
      </c>
      <c r="G9" s="28">
        <f t="shared" si="1"/>
        <v>0.3076923076923077</v>
      </c>
      <c r="H9" s="29" t="e">
        <f>B7/B3</f>
        <v>#DIV/0!</v>
      </c>
      <c r="I9" s="16">
        <f>C2*G9</f>
        <v>0</v>
      </c>
      <c r="J9">
        <f>B7</f>
        <v>0</v>
      </c>
      <c r="K9" s="30">
        <f>J9-I9</f>
        <v>0</v>
      </c>
      <c r="L9" s="18">
        <f>K9/4</f>
        <v>0</v>
      </c>
    </row>
    <row r="11" spans="8:12" x14ac:dyDescent="0.25">
      <c r="H11" s="31" t="s">
        <v>84</v>
      </c>
      <c r="I11" s="32">
        <f>SUM(I7:I9)</f>
        <v>0</v>
      </c>
      <c r="J11" s="26">
        <f>SUM(J7:J9)</f>
        <v>0</v>
      </c>
      <c r="K11" s="33">
        <f>SUM(K7:K9)</f>
        <v>0</v>
      </c>
      <c r="L11" s="34">
        <f>SUM(L7:L9)</f>
        <v>0</v>
      </c>
    </row>
    <row r="16" ht="15.75" customHeight="1" spans="5:12" x14ac:dyDescent="0.25">
      <c r="E16" t="s">
        <v>85</v>
      </c>
      <c r="F16" t="s">
        <v>69</v>
      </c>
      <c r="G16" t="s">
        <v>86</v>
      </c>
      <c r="H16" t="s">
        <v>71</v>
      </c>
      <c r="I16" s="35" t="s">
        <v>72</v>
      </c>
      <c r="J16" s="35" t="s">
        <v>73</v>
      </c>
      <c r="K16" t="s">
        <v>74</v>
      </c>
      <c r="L16" t="s">
        <v>75</v>
      </c>
    </row>
    <row r="17" spans="5:12" x14ac:dyDescent="0.25">
      <c r="E17" s="36" t="s">
        <v>79</v>
      </c>
      <c r="F17" s="37">
        <v>3</v>
      </c>
      <c r="G17" s="38">
        <f t="shared" ref="G17:G19" si="2">F17/13</f>
        <v>0.23076923076923078</v>
      </c>
      <c r="H17" s="39" t="e">
        <f>(B5+B4)/B3</f>
        <v>#DIV/0!</v>
      </c>
      <c r="I17" s="40">
        <f>B3*G17</f>
        <v>0</v>
      </c>
      <c r="J17" s="41">
        <f>B5+B4</f>
        <v>0</v>
      </c>
      <c r="K17" s="42">
        <f>J17-I17</f>
        <v>0</v>
      </c>
      <c r="L17" s="18">
        <f>K17/4</f>
        <v>0</v>
      </c>
    </row>
    <row r="18" spans="5:17" x14ac:dyDescent="0.25">
      <c r="E18" s="43" t="s">
        <v>81</v>
      </c>
      <c r="F18" s="44">
        <v>6</v>
      </c>
      <c r="G18" s="45">
        <f t="shared" si="2"/>
        <v>0.46153846153846156</v>
      </c>
      <c r="H18" s="46" t="e">
        <f>B6/B3</f>
        <v>#DIV/0!</v>
      </c>
      <c r="I18" s="47">
        <f>B3*G18</f>
        <v>0</v>
      </c>
      <c r="J18" s="48">
        <f>B6</f>
        <v>0</v>
      </c>
      <c r="K18" s="49">
        <f>J18-I18</f>
        <v>0</v>
      </c>
      <c r="L18" s="18">
        <f>K18/4</f>
        <v>0</v>
      </c>
      <c r="Q18" s="50"/>
    </row>
    <row r="19" ht="15.75" customHeight="1" spans="5:12" x14ac:dyDescent="0.25">
      <c r="E19" s="51" t="s">
        <v>83</v>
      </c>
      <c r="F19" s="52">
        <v>4</v>
      </c>
      <c r="G19" s="53">
        <f t="shared" si="2"/>
        <v>0.3076923076923077</v>
      </c>
      <c r="H19" s="54" t="e">
        <f>B7/B3</f>
        <v>#DIV/0!</v>
      </c>
      <c r="I19" s="55">
        <f>B3*G19</f>
        <v>0</v>
      </c>
      <c r="J19" s="56">
        <f>B7</f>
        <v>0</v>
      </c>
      <c r="K19" s="57">
        <f>J19-I19</f>
        <v>0</v>
      </c>
      <c r="L19" s="18">
        <f>K19/4</f>
        <v>0</v>
      </c>
    </row>
    <row r="21" ht="46.5" customHeight="1" spans="5:11" x14ac:dyDescent="0.25">
      <c r="E21" s="58" t="s">
        <v>87</v>
      </c>
      <c r="F21" s="58"/>
      <c r="G21" s="58"/>
      <c r="H21" s="58"/>
      <c r="I21" s="58"/>
      <c r="J21" s="58"/>
      <c r="K21" s="58"/>
    </row>
    <row r="22" ht="15.75" customHeight="1" spans="6:11" x14ac:dyDescent="0.25">
      <c r="F22" t="s">
        <v>69</v>
      </c>
      <c r="G22" t="s">
        <v>86</v>
      </c>
      <c r="H22" t="s">
        <v>71</v>
      </c>
      <c r="I22" s="35" t="s">
        <v>72</v>
      </c>
      <c r="J22" s="35" t="s">
        <v>73</v>
      </c>
      <c r="K22" t="s">
        <v>74</v>
      </c>
    </row>
    <row r="23" spans="5:11" x14ac:dyDescent="0.25">
      <c r="E23" s="36" t="s">
        <v>79</v>
      </c>
      <c r="F23" s="37">
        <v>3</v>
      </c>
      <c r="G23" s="38">
        <f t="shared" ref="G23:G25" si="3">F23/13</f>
        <v>0.23076923076923078</v>
      </c>
      <c r="H23" s="39" t="e">
        <f>(B4+B5-C4)/(B3-C8)</f>
        <v>#DIV/0!</v>
      </c>
      <c r="I23" s="40">
        <f>(B3-C8) *G23</f>
        <v>0</v>
      </c>
      <c r="J23" s="41">
        <f>B4+B5-C4</f>
        <v>0</v>
      </c>
      <c r="K23" s="42">
        <f>J23-I23</f>
        <v>0</v>
      </c>
    </row>
    <row r="24" ht="15.75" customHeight="1" spans="5:11" x14ac:dyDescent="0.25">
      <c r="E24" s="43" t="s">
        <v>81</v>
      </c>
      <c r="F24" s="44">
        <v>6</v>
      </c>
      <c r="G24" s="45">
        <f t="shared" si="3"/>
        <v>0.46153846153846156</v>
      </c>
      <c r="H24" s="46" t="e">
        <f>(B6-C4)/(B3-C8)</f>
        <v>#DIV/0!</v>
      </c>
      <c r="I24" s="47">
        <f>(B3-C8)*G24</f>
        <v>0</v>
      </c>
      <c r="J24" s="48">
        <f>B6-C6</f>
        <v>0</v>
      </c>
      <c r="K24" s="49">
        <f>J24-I24</f>
        <v>0</v>
      </c>
    </row>
    <row r="25" ht="16.5" customHeight="1" spans="5:11" x14ac:dyDescent="0.25">
      <c r="E25" s="51" t="s">
        <v>83</v>
      </c>
      <c r="F25" s="52">
        <v>4</v>
      </c>
      <c r="G25" s="53">
        <f t="shared" si="3"/>
        <v>0.3076923076923077</v>
      </c>
      <c r="H25" s="54" t="e">
        <f>(B7-C7)/(B3-C8)</f>
        <v>#DIV/0!</v>
      </c>
      <c r="I25" s="55">
        <f>(B3-C8)*G25</f>
        <v>0</v>
      </c>
      <c r="J25" s="56">
        <f>B7-C7</f>
        <v>0</v>
      </c>
      <c r="K25" s="57">
        <f>J25-I25</f>
        <v>0</v>
      </c>
    </row>
    <row r="26" spans="5:11" x14ac:dyDescent="0.25">
      <c r="E26" s="59" t="s">
        <v>88</v>
      </c>
      <c r="F26" s="59"/>
      <c r="G26" s="59"/>
      <c r="H26" s="60" t="e">
        <f>C8/B9</f>
        <v>#DIV/0!</v>
      </c>
      <c r="I26" s="59"/>
      <c r="J26" s="61">
        <f>C8</f>
        <v>0</v>
      </c>
      <c r="K26" s="59"/>
    </row>
    <row r="28" ht="15.75" customHeight="1" spans="8:11" x14ac:dyDescent="0.25">
      <c r="H28" t="s">
        <v>84</v>
      </c>
      <c r="J28">
        <f>SUM(J23:J26)</f>
        <v>0</v>
      </c>
      <c r="K28" s="62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2025-09-01T06:20:17Z</dcterms:modified>
</cp:coreProperties>
</file>