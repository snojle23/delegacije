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<sst xmlns="http://schemas.openxmlformats.org/spreadsheetml/2006/main" count="2903" uniqueCount="462">
  <si>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</si>
  <si>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</si>
  <si>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</si>
  <si>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</si>
  <si>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</si>
  <si>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</si>
  <si>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</si>
  <si>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</si>
  <si>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</si>
  <si>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</si>
  <si>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</si>
  <si>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</si>
  <si>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</si>
  <si>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</si>
  <si>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</si>
  <si>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</si>
  <si>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</si>
  <si>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</si>
  <si>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</si>
  <si>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</si>
  <si>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</si>
  <si>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</si>
  <si>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</si>
  <si>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</si>
  <si>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</si>
  <si>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</si>
  <si>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</si>
  <si>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</si>
  <si>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</si>
  <si>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</si>
  <si>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</si>
  <si>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</si>
  <si>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</si>
  <si>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</si>
  <si>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</si>
  <si>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</si>
  <si>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</si>
  <si>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</si>
  <si>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</si>
  <si>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</si>
  <si>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</si>
  <si>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</si>
  <si>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</si>
  <si>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</si>
  <si>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</si>
  <si>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</si>
  <si>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</si>
  <si>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</si>
  <si>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</si>
  <si>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</si>
  <si>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</si>
  <si>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</si>
  <si>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</si>
  <si>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</si>
  <si>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</si>
  <si>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</si>
  <si>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</si>
  <si>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</si>
  <si>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</si>
  <si>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</si>
  <si>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</si>
  <si>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</si>
  <si>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</si>
  <si>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</si>
  <si>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</si>
  <si>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</si>
  <si>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</si>
  <si>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</si>
  <si>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</si>
  <si>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</si>
  <si>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</si>
  <si>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</si>
  <si>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</si>
  <si>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</si>
  <si>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</si>
  <si>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</si>
  <si>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</si>
  <si>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</si>
  <si>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</si>
  <si>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</si>
  <si>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</si>
  <si>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</si>
  <si>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</si>
  <si>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</si>
  <si>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</si>
  <si>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</si>
  <si>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</si>
  <si>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</si>
  <si>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</si>
  <si>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</si>
  <si>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</si>
  <si>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</si>
  <si>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</si>
  <si>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</si>
  <si>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</si>
  <si>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</si>
  <si>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</si>
  <si>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</si>
  <si>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</si>
  <si>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</si>
  <si>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</si>
  <si>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</si>
  <si>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</si>
  <si>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</si>
  <si>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</si>
  <si>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</si>
  <si>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</si>
  <si>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</si>
  <si>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</si>
  <si>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</si>
  <si>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</si>
  <si>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</si>
  <si>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</si>
  <si>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</si>
  <si>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</si>
  <si>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</si>
  <si>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</si>
  <si>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</si>
  <si>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</si>
  <si>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</si>
  <si>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</si>
  <si>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</si>
  <si>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</si>
  <si>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</si>
  <si>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</si>
  <si>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2026-03-05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</si>
  <si>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</si>
  <si>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</si>
  <si>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</si>
  <si>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</si>
  <si>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</si>
  <si>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</si>
  <si>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</si>
  <si>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</si>
  <si>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</si>
  <si>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</si>
  <si>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</si>
  <si>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</si>
  <si>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</si>
  <si>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</si>
  <si>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</si>
  <si>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2026-03-07</t>
  </si>
  <si>
    <t>zbrisano</t>
  </si>
  <si>
    <t>2026-03-03</t>
  </si>
  <si>
    <t>2026-01-14</t>
  </si>
  <si>
    <t>2026-02-25</t>
  </si>
  <si>
    <t>2026-02-01</t>
  </si>
  <si>
    <t>2026-01-20</t>
  </si>
  <si>
    <t>2026-02-10</t>
  </si>
  <si>
    <t>2026-01-11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</si>
  <si>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</si>
  <si>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</si>
  <si>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</si>
  <si>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</si>
  <si>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</si>
  <si>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</si>
  <si>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</si>
  <si>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</si>
  <si>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</si>
  <si>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</si>
  <si>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</si>
  <si>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</si>
  <si>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</si>
  <si>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</si>
  <si>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</si>
  <si>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</si>
  <si>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</si>
  <si>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</si>
  <si>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</si>
  <si>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</si>
  <si>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</si>
  <si>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</si>
  <si>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</si>
  <si>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</si>
  <si>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</si>
  <si>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</si>
  <si>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</si>
  <si>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</si>
  <si>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</si>
  <si>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</si>
  <si>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</si>
  <si>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</si>
  <si>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</si>
  <si>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</si>
  <si>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</si>
  <si>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</si>
  <si>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</si>
  <si>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</si>
  <si>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</si>
  <si>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</si>
  <si>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</si>
  <si>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</si>
  <si>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</si>
  <si>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</si>
  <si>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</si>
  <si>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</si>
  <si>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</si>
  <si>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</si>
  <si>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</si>
  <si>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</si>
  <si>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</si>
  <si>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</si>
  <si>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</si>
  <si>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</si>
  <si>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</si>
  <si>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</si>
  <si>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</si>
  <si>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</si>
  <si>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</si>
  <si>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</si>
  <si>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</si>
  <si>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</si>
  <si>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</si>
  <si>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</si>
  <si>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</si>
  <si>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</si>
  <si>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</si>
  <si>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</si>
  <si>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</si>
  <si>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</si>
  <si>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</si>
  <si>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</si>
  <si>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</si>
  <si>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</si>
  <si>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</si>
  <si>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</si>
  <si>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</si>
  <si>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</si>
  <si>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</si>
  <si>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</si>
  <si>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</si>
  <si>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Neumarkt;PinieOm;VirtaTu;GrisentiLu;IlmerNo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</si>
  <si>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</si>
  <si>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</si>
  <si>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</si>
  <si>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</si>
  <si>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</si>
  <si>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</si>
  <si>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</si>
  <si>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</si>
  <si>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</si>
  <si>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</si>
  <si>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</si>
  <si>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</si>
  <si>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</si>
  <si>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</si>
  <si>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</si>
  <si>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</si>
  <si>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</si>
  <si>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</si>
  <si>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</si>
  <si>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</si>
  <si>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</si>
  <si>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</si>
  <si>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</si>
  <si>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</si>
  <si>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</si>
  <si>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</si>
  <si>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</si>
  <si>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</si>
  <si>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</si>
  <si>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</si>
  <si>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</si>
  <si>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</si>
  <si>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</si>
  <si>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</si>
  <si>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</si>
  <si>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</si>
  <si>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</si>
  <si>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</si>
  <si>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</si>
  <si>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</si>
  <si>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</si>
  <si>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</si>
  <si>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</si>
  <si>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</si>
  <si>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</si>
  <si>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</si>
  <si>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</si>
  <si>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</si>
  <si>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</si>
  <si>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</si>
  <si>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</si>
  <si>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</si>
  <si>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</si>
  <si>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</si>
  <si>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</si>
  <si>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</si>
  <si>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</si>
  <si>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</si>
  <si>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Sterzing;BenvegnuAn;LazzeriAl;AbeltinoSi;BrondiMa</t>
  </si>
  <si>
    <t>Eishalle Asiago;MoschenAn;VirtaTu;CristeliMa;RivisAn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</si>
  <si>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</si>
  <si>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</si>
  <si>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</si>
  <si>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</si>
  <si>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</si>
  <si>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</si>
  <si>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</si>
  <si>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</si>
  <si>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</si>
  <si>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</si>
  <si>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</si>
  <si>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</si>
  <si>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</si>
  <si>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</si>
  <si>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</si>
  <si>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</si>
  <si>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</si>
  <si>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</si>
  <si>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</si>
  <si>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</si>
  <si>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</si>
  <si>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</si>
  <si>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</si>
  <si>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</si>
  <si>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</si>
  <si>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</si>
  <si>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</si>
  <si>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</si>
  <si>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</si>
  <si>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</si>
  <si>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</si>
  <si>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</si>
  <si>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</si>
  <si>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</si>
  <si>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</si>
  <si>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</si>
  <si>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</si>
  <si>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</si>
  <si>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</si>
  <si>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</si>
  <si>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</si>
  <si>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</si>
  <si>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Gröden;BenvegnuAn;MoschenAn;CristeliMa;FecchioFe</t>
  </si>
  <si>
    <t>Eishalle Meran;BulovecMi;SnojTa;FleischmannLu;IlmerNo</t>
  </si>
  <si>
    <t>Sportpark Kitzbühel;OrelSt;PinieOm;FecchioFe;WuchererGe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</si>
  <si>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</si>
  <si>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</si>
  <si>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</si>
  <si>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</si>
  <si>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</si>
  <si>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</si>
  <si>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</si>
  <si>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</si>
  <si>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</si>
  <si>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</si>
  <si>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</si>
  <si>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</si>
  <si>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</si>
  <si>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</si>
  <si>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</si>
  <si>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</si>
  <si>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</si>
  <si>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</si>
  <si>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</si>
  <si>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</si>
  <si>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</si>
  <si>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</si>
  <si>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</si>
  <si>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</si>
  <si>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</si>
  <si>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</si>
  <si>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</si>
  <si>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</si>
  <si>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</si>
  <si>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</si>
  <si>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</si>
  <si>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</si>
  <si>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</si>
  <si>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</si>
  <si>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</si>
  <si>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</si>
  <si>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</si>
  <si>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</si>
  <si>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</si>
  <si>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Cadore;BergantAn;RivisFe;ArlicMa;RivisAn</t>
  </si>
  <si>
    <t>Eishalle Ritten;LazzeriAl;RivisFe;CristeliMa;GrisentiLu</t>
  </si>
  <si>
    <t>Eishalle Dornbirn;HolzerTo;MoschenAn;Dummermuth-haasEl;IlmerNo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</si>
  <si>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</si>
  <si>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</si>
  <si>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</si>
  <si>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</si>
  <si>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</si>
  <si>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</si>
  <si>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</si>
  <si>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</si>
  <si>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</si>
  <si>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</si>
  <si>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</si>
  <si>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</si>
  <si>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</si>
  <si>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</si>
  <si>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</si>
  <si>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</si>
  <si>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</si>
  <si>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</si>
  <si>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</si>
  <si>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</si>
  <si>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</si>
  <si>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</si>
  <si>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</si>
  <si>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</si>
  <si>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</si>
  <si>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</si>
  <si>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</si>
  <si>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</si>
  <si>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</si>
  <si>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</si>
  <si>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</si>
  <si>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</si>
  <si>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</si>
  <si>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Gröden;HolzerTo;StefenelliFe;CusinFe;RinkerDa</t>
  </si>
  <si>
    <t>Eishalle Pieve di Cadore;PirasAn;VirtaTu;BrondiPa;GrisentiLu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</si>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</sst>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73"/>
  <sheetViews>
    <sheetView workbookViewId="0" zoomScale="100" zoomScaleNormal="100">
      <selection activeCell="AI32" sqref="AI32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1" x14ac:dyDescent="0.25">
      <c r="A1">
        <f>COUNTIF(A4:A36,"&lt;&gt;")</f>
        <v>23</v>
      </c>
      <c r="B1">
        <f>COUNTIF(B4:B32,"&lt;&gt;")</f>
        <v>22</v>
      </c>
      <c r="C1">
        <f>COUNTIF(C4:C32,"&lt;&gt;")</f>
        <v>22</v>
      </c>
      <c r="D1">
        <f>COUNTIF(D4:D33,"&lt;&gt;")</f>
        <v>19</v>
      </c>
      <c r="E1">
        <f>COUNTIF(E4:E31,"&lt;&gt;")</f>
        <v>18</v>
      </c>
      <c r="F1">
        <f>COUNTIF(F4:F33,"&lt;&gt;")</f>
        <v>10</v>
      </c>
      <c r="G1">
        <f>COUNTIF(G4:G32,"&lt;&gt;")</f>
        <v>18</v>
      </c>
      <c r="H1">
        <f>COUNTIF(H4:H33,"&lt;&gt;")</f>
        <v>19</v>
      </c>
      <c r="I1">
        <f>COUNTIF(I4:I36,"&lt;&gt;")</f>
        <v>15</v>
      </c>
      <c r="J1">
        <f>COUNTIF(J4:J36,"&lt;&gt;")</f>
        <v>19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28</v>
      </c>
      <c r="N1">
        <f>COUNTIF(N4:N31,"&lt;&gt;")</f>
        <v>23</v>
      </c>
      <c r="O1">
        <f>COUNTIF(O4:O35,"&lt;&gt;")</f>
        <v>24</v>
      </c>
      <c r="P1">
        <f>COUNTIF(P4:P32,"&lt;&gt;")</f>
        <v>27</v>
      </c>
      <c r="Q1">
        <f>COUNTIF(Q4:Q31,"&lt;&gt;")</f>
        <v>25</v>
      </c>
      <c r="R1">
        <f>COUNTIF(R4:R30,"&lt;&gt;")</f>
        <v>24</v>
      </c>
      <c r="S1">
        <f>COUNTIF(S4:S30,"&lt;&gt;")</f>
        <v>17</v>
      </c>
      <c r="T1">
        <f t="shared" si="0"/>
        <v>26</v>
      </c>
      <c r="U1">
        <f>COUNTIF(U4:U29,"&lt;&gt;")</f>
        <v>22</v>
      </c>
      <c r="V1">
        <f>COUNTIF(V4:V35,"&lt;&gt;")</f>
        <v>23</v>
      </c>
      <c r="W1">
        <f>COUNTIF(W4:W34,"&lt;&gt;")</f>
        <v>22</v>
      </c>
      <c r="X1">
        <f>COUNTIF(X4:X33,"&lt;&gt;")</f>
        <v>24</v>
      </c>
      <c r="Y1">
        <f>COUNTIF(Y4:Y41,"&lt;&gt;")</f>
        <v>34</v>
      </c>
      <c r="Z1">
        <f>COUNTIF(Z4:Z33,"&lt;&gt;")</f>
        <v>25</v>
      </c>
      <c r="AA1">
        <f>COUNTIF(AA4:AA26,"&lt;&gt;")</f>
        <v>23</v>
      </c>
      <c r="AB1">
        <f>COUNTIF(AB4:AB32,"&lt;&gt;")</f>
        <v>25</v>
      </c>
      <c r="AC1">
        <f>COUNTIF(AC4:AC27,"&lt;&gt;")</f>
        <v>15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14</v>
      </c>
      <c r="AI1">
        <f>COUNTIF(AI4:AI120,"&lt;&gt;")</f>
        <v>30</v>
      </c>
      <c r="AJ1">
        <f>COUNTIF(AJ4:AJ33,"&lt;&gt;")</f>
        <v>27</v>
      </c>
      <c r="AK1">
        <f>COUNTIF(AK4:AK33,"&lt;&gt;")</f>
        <v>20</v>
      </c>
      <c r="AL1">
        <f>COUNTIF(AL4:AL44,"&lt;&gt;")</f>
        <v>34</v>
      </c>
      <c r="AM1">
        <f>COUNTIF(AM4:AM34,"&lt;&gt;")</f>
        <v>29</v>
      </c>
      <c r="AN1">
        <f>COUNTIF(AN4:AN35,"&lt;&gt;")</f>
        <v>21</v>
      </c>
      <c r="AO1">
        <f>COUNTIF(AO4:AO34,"&lt;&gt;")</f>
        <v>21</v>
      </c>
      <c r="AP1">
        <f>COUNTIF(AP4:AP34,"&lt;&gt;")</f>
        <v>30</v>
      </c>
      <c r="AQ1">
        <f>COUNTIF(AQ4:AQ33,"&lt;&gt;")</f>
        <v>27</v>
      </c>
      <c r="AR1">
        <f>COUNTIF(AR4:AR34,"&lt;&gt;")</f>
        <v>27</v>
      </c>
      <c r="AS1">
        <f>COUNTIF(AS4:AS36,"&lt;&gt;")</f>
        <v>24</v>
      </c>
      <c r="AT1">
        <f>COUNTIF(AT4:AT34,"&lt;&gt;")</f>
        <v>22</v>
      </c>
      <c r="AU1">
        <f>COUNTIF(AU4:AU33,"&lt;&gt;")</f>
        <v>30</v>
      </c>
      <c r="AV1">
        <f>COUNTIF(AV4:AV29,"&lt;&gt;")</f>
        <v>16</v>
      </c>
      <c r="AW1">
        <f>COUNTIF(AW4:AW35,"&lt;&gt;")</f>
        <v>14</v>
      </c>
      <c r="AX1">
        <f>COUNTIF(AX4:AX33,"&lt;&gt;")</f>
        <v>15</v>
      </c>
      <c r="AY1">
        <f>COUNTIF(AY4:AY30,"&lt;&gt;")</f>
        <v>14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ht="14.45" customHeight="1" spans="1:6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ht="15" customHeight="1" spans="1:62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ht="15" customHeight="1" spans="1:6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ht="15" customHeight="1" spans="1:6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ht="15" customHeight="1" spans="1:57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ht="15" customHeight="1" spans="1:57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ht="15" customHeight="1" spans="1:57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ht="15" customHeight="1" spans="1:57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ht="15" customHeight="1" spans="1:57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ht="15" customHeight="1" spans="1:57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  <c r="BE11" t="s">
        <v>125</v>
      </c>
    </row>
    <row r="12" ht="15" customHeight="1" spans="1:57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126</v>
      </c>
      <c r="G12" t="s">
        <v>97</v>
      </c>
      <c r="H12" t="s">
        <v>81</v>
      </c>
      <c r="I12" t="s">
        <v>90</v>
      </c>
      <c r="J12" t="s">
        <v>81</v>
      </c>
      <c r="M12" t="s">
        <v>127</v>
      </c>
      <c r="N12" t="s">
        <v>114</v>
      </c>
      <c r="O12" t="s">
        <v>127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127</v>
      </c>
      <c r="X12" t="s">
        <v>102</v>
      </c>
      <c r="Y12" t="s">
        <v>96</v>
      </c>
      <c r="Z12" t="s">
        <v>67</v>
      </c>
      <c r="AA12" t="s">
        <v>128</v>
      </c>
      <c r="AB12" t="s">
        <v>68</v>
      </c>
      <c r="AC12" t="s">
        <v>97</v>
      </c>
      <c r="AD12" t="s">
        <v>129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129</v>
      </c>
      <c r="AW12" t="s">
        <v>129</v>
      </c>
      <c r="AX12" t="s">
        <v>129</v>
      </c>
      <c r="AY12" t="s">
        <v>126</v>
      </c>
      <c r="AZ12" t="s">
        <v>98</v>
      </c>
      <c r="BB12" t="s">
        <v>130</v>
      </c>
    </row>
    <row r="13" ht="15" customHeight="1" spans="1:54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129</v>
      </c>
      <c r="H13" t="s">
        <v>88</v>
      </c>
      <c r="I13" t="s">
        <v>129</v>
      </c>
      <c r="J13" t="s">
        <v>98</v>
      </c>
      <c r="M13" t="s">
        <v>104</v>
      </c>
      <c r="N13" t="s">
        <v>131</v>
      </c>
      <c r="O13" t="s">
        <v>81</v>
      </c>
      <c r="P13" t="s">
        <v>77</v>
      </c>
      <c r="Q13" t="s">
        <v>132</v>
      </c>
      <c r="R13" t="s">
        <v>81</v>
      </c>
      <c r="S13" t="s">
        <v>131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127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133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134</v>
      </c>
    </row>
    <row r="14" ht="15" customHeight="1" spans="1:54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126</v>
      </c>
      <c r="H14" t="s">
        <v>90</v>
      </c>
      <c r="I14" t="s">
        <v>126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133</v>
      </c>
      <c r="AS14" t="s">
        <v>98</v>
      </c>
      <c r="AT14" t="s">
        <v>135</v>
      </c>
      <c r="AU14" t="s">
        <v>89</v>
      </c>
      <c r="AV14" t="s">
        <v>136</v>
      </c>
      <c r="AW14" t="s">
        <v>137</v>
      </c>
      <c r="AX14" t="s">
        <v>101</v>
      </c>
      <c r="AY14" s="4" t="s">
        <v>115</v>
      </c>
      <c r="AZ14" t="s">
        <v>83</v>
      </c>
    </row>
    <row r="15" ht="15" customHeight="1" spans="1:52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138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129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132</v>
      </c>
      <c r="AB15" t="s">
        <v>97</v>
      </c>
      <c r="AC15" t="s">
        <v>129</v>
      </c>
      <c r="AD15" t="s">
        <v>110</v>
      </c>
      <c r="AG15" t="s">
        <v>105</v>
      </c>
      <c r="AH15" t="s">
        <v>130</v>
      </c>
      <c r="AI15" t="s">
        <v>133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135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80</v>
      </c>
      <c r="AZ15" t="s">
        <v>138</v>
      </c>
    </row>
    <row r="16" ht="15" customHeight="1" spans="1:52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129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132</v>
      </c>
      <c r="AA16" t="s">
        <v>105</v>
      </c>
      <c r="AB16" t="s">
        <v>121</v>
      </c>
      <c r="AC16" t="s">
        <v>99</v>
      </c>
      <c r="AD16" s="4" t="s">
        <v>115</v>
      </c>
      <c r="AG16" t="s">
        <v>129</v>
      </c>
      <c r="AH16" t="s">
        <v>80</v>
      </c>
      <c r="AI16" t="s">
        <v>102</v>
      </c>
      <c r="AJ16" t="s">
        <v>135</v>
      </c>
      <c r="AK16" t="s">
        <v>110</v>
      </c>
      <c r="AL16" t="s">
        <v>133</v>
      </c>
      <c r="AM16" t="s">
        <v>98</v>
      </c>
      <c r="AN16" t="s">
        <v>113</v>
      </c>
      <c r="AO16" t="s">
        <v>105</v>
      </c>
      <c r="AP16" t="s">
        <v>128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107</v>
      </c>
      <c r="AZ16" t="s">
        <v>110</v>
      </c>
    </row>
    <row r="17" ht="15" customHeight="1" spans="1:52" x14ac:dyDescent="0.25">
      <c r="A17" t="s">
        <v>90</v>
      </c>
      <c r="B17" t="s">
        <v>129</v>
      </c>
      <c r="C17" t="s">
        <v>83</v>
      </c>
      <c r="D17" t="s">
        <v>121</v>
      </c>
      <c r="E17" t="s">
        <v>136</v>
      </c>
      <c r="G17" t="s">
        <v>93</v>
      </c>
      <c r="H17" t="s">
        <v>100</v>
      </c>
      <c r="I17" t="s">
        <v>130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129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131</v>
      </c>
      <c r="AA17" t="s">
        <v>129</v>
      </c>
      <c r="AB17" t="s">
        <v>105</v>
      </c>
      <c r="AC17" s="4" t="s">
        <v>110</v>
      </c>
      <c r="AD17" t="s">
        <v>111</v>
      </c>
      <c r="AG17" t="s">
        <v>110</v>
      </c>
      <c r="AH17" t="s">
        <v>107</v>
      </c>
      <c r="AI17" t="s">
        <v>98</v>
      </c>
      <c r="AJ17" t="s">
        <v>118</v>
      </c>
      <c r="AK17" t="s">
        <v>137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139</v>
      </c>
      <c r="AU17" t="s">
        <v>128</v>
      </c>
      <c r="AV17" t="s">
        <v>80</v>
      </c>
      <c r="AW17" t="s">
        <v>80</v>
      </c>
      <c r="AX17" t="s">
        <v>140</v>
      </c>
      <c r="AY17" t="s">
        <v>141</v>
      </c>
      <c r="AZ17" t="s">
        <v>137</v>
      </c>
    </row>
    <row r="18" ht="15" customHeight="1" spans="1:52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136</v>
      </c>
      <c r="M18" t="s">
        <v>98</v>
      </c>
      <c r="N18" t="s">
        <v>110</v>
      </c>
      <c r="O18" t="s">
        <v>129</v>
      </c>
      <c r="P18" t="s">
        <v>129</v>
      </c>
      <c r="Q18" t="s">
        <v>126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129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142</v>
      </c>
      <c r="AD18" t="s">
        <v>143</v>
      </c>
      <c r="AG18" t="s">
        <v>144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129</v>
      </c>
      <c r="AP18" t="s">
        <v>123</v>
      </c>
      <c r="AQ18" t="s">
        <v>128</v>
      </c>
      <c r="AR18" t="s">
        <v>83</v>
      </c>
      <c r="AS18" t="s">
        <v>97</v>
      </c>
      <c r="AT18" t="s">
        <v>100</v>
      </c>
      <c r="AU18" t="s">
        <v>90</v>
      </c>
      <c r="AV18" t="s">
        <v>145</v>
      </c>
      <c r="AX18" t="s">
        <v>80</v>
      </c>
      <c r="AZ18" s="4" t="s">
        <v>146</v>
      </c>
    </row>
    <row r="19" ht="15" customHeight="1" spans="1:52" x14ac:dyDescent="0.25">
      <c r="A19" t="s">
        <v>129</v>
      </c>
      <c r="B19" t="s">
        <v>126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136</v>
      </c>
      <c r="O19" t="s">
        <v>99</v>
      </c>
      <c r="P19" t="s">
        <v>99</v>
      </c>
      <c r="Q19" t="s">
        <v>131</v>
      </c>
      <c r="R19" t="s">
        <v>101</v>
      </c>
      <c r="S19" t="s">
        <v>80</v>
      </c>
      <c r="T19" t="s">
        <v>129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126</v>
      </c>
      <c r="AB19" t="s">
        <v>99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139</v>
      </c>
      <c r="AS19" t="s">
        <v>129</v>
      </c>
      <c r="AT19" t="s">
        <v>99</v>
      </c>
      <c r="AU19" t="s">
        <v>83</v>
      </c>
      <c r="AV19" t="s">
        <v>141</v>
      </c>
      <c r="AZ19" t="s">
        <v>116</v>
      </c>
    </row>
    <row r="20" ht="15" customHeight="1" spans="1:52" x14ac:dyDescent="0.25">
      <c r="A20" t="s">
        <v>110</v>
      </c>
      <c r="B20" t="s">
        <v>136</v>
      </c>
      <c r="C20" t="s">
        <v>147</v>
      </c>
      <c r="D20" t="s">
        <v>111</v>
      </c>
      <c r="E20" t="s">
        <v>107</v>
      </c>
      <c r="G20" t="s">
        <v>80</v>
      </c>
      <c r="H20" s="4" t="s">
        <v>147</v>
      </c>
      <c r="J20" s="4" t="s">
        <v>106</v>
      </c>
      <c r="M20" t="s">
        <v>79</v>
      </c>
      <c r="N20" t="s">
        <v>138</v>
      </c>
      <c r="O20" t="s">
        <v>110</v>
      </c>
      <c r="P20" t="s">
        <v>110</v>
      </c>
      <c r="Q20" t="s">
        <v>83</v>
      </c>
      <c r="R20" t="s">
        <v>121</v>
      </c>
      <c r="S20" t="s">
        <v>134</v>
      </c>
      <c r="T20" t="s">
        <v>79</v>
      </c>
      <c r="U20" t="s">
        <v>136</v>
      </c>
      <c r="V20" t="s">
        <v>137</v>
      </c>
      <c r="W20" s="4" t="s">
        <v>101</v>
      </c>
      <c r="X20" t="s">
        <v>101</v>
      </c>
      <c r="Y20" t="s">
        <v>79</v>
      </c>
      <c r="Z20" t="s">
        <v>129</v>
      </c>
      <c r="AA20" t="s">
        <v>83</v>
      </c>
      <c r="AB20" t="s">
        <v>144</v>
      </c>
      <c r="AG20" t="s">
        <v>115</v>
      </c>
      <c r="AI20" t="s">
        <v>83</v>
      </c>
      <c r="AJ20" t="s">
        <v>139</v>
      </c>
      <c r="AK20" t="s">
        <v>116</v>
      </c>
      <c r="AL20" t="s">
        <v>118</v>
      </c>
      <c r="AM20" t="s">
        <v>90</v>
      </c>
      <c r="AN20" t="s">
        <v>137</v>
      </c>
      <c r="AO20" t="s">
        <v>115</v>
      </c>
      <c r="AP20" t="s">
        <v>121</v>
      </c>
      <c r="AQ20" t="s">
        <v>123</v>
      </c>
      <c r="AR20" t="s">
        <v>129</v>
      </c>
      <c r="AS20" t="s">
        <v>110</v>
      </c>
      <c r="AT20" t="s">
        <v>101</v>
      </c>
      <c r="AU20" t="s">
        <v>138</v>
      </c>
      <c r="AV20" t="s">
        <v>143</v>
      </c>
      <c r="AZ20" t="s">
        <v>111</v>
      </c>
    </row>
    <row r="21" ht="15" customHeight="1" spans="1:52" x14ac:dyDescent="0.25">
      <c r="A21" t="s">
        <v>126</v>
      </c>
      <c r="B21" t="s">
        <v>106</v>
      </c>
      <c r="C21" t="s">
        <v>93</v>
      </c>
      <c r="D21" t="s">
        <v>107</v>
      </c>
      <c r="E21" t="s">
        <v>143</v>
      </c>
      <c r="G21" t="s">
        <v>143</v>
      </c>
      <c r="H21" t="s">
        <v>116</v>
      </c>
      <c r="J21" t="s">
        <v>130</v>
      </c>
      <c r="M21" t="s">
        <v>99</v>
      </c>
      <c r="N21" t="s">
        <v>106</v>
      </c>
      <c r="O21" t="s">
        <v>144</v>
      </c>
      <c r="P21" t="s">
        <v>126</v>
      </c>
      <c r="Q21" t="s">
        <v>93</v>
      </c>
      <c r="R21" t="s">
        <v>100</v>
      </c>
      <c r="S21" t="s">
        <v>143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129</v>
      </c>
      <c r="AK21" t="s">
        <v>148</v>
      </c>
      <c r="AL21" t="s">
        <v>90</v>
      </c>
      <c r="AM21" t="s">
        <v>83</v>
      </c>
      <c r="AN21" t="s">
        <v>115</v>
      </c>
      <c r="AO21" s="4" t="s">
        <v>106</v>
      </c>
      <c r="AP21" t="s">
        <v>132</v>
      </c>
      <c r="AQ21" t="s">
        <v>100</v>
      </c>
      <c r="AR21" t="s">
        <v>99</v>
      </c>
      <c r="AS21" t="s">
        <v>126</v>
      </c>
      <c r="AT21" t="s">
        <v>136</v>
      </c>
      <c r="AU21" t="s">
        <v>100</v>
      </c>
      <c r="AV21" t="s">
        <v>125</v>
      </c>
      <c r="AZ21" t="s">
        <v>107</v>
      </c>
    </row>
    <row r="22" ht="15" customHeight="1" spans="1:52" x14ac:dyDescent="0.25">
      <c r="A22" t="s">
        <v>122</v>
      </c>
      <c r="B22" s="4" t="s">
        <v>115</v>
      </c>
      <c r="C22" s="4" t="s">
        <v>106</v>
      </c>
      <c r="D22" t="s">
        <v>142</v>
      </c>
      <c r="H22" t="s">
        <v>140</v>
      </c>
      <c r="J22" t="s">
        <v>143</v>
      </c>
      <c r="M22" t="s">
        <v>144</v>
      </c>
      <c r="N22" s="4" t="s">
        <v>93</v>
      </c>
      <c r="O22" t="s">
        <v>93</v>
      </c>
      <c r="P22" t="s">
        <v>83</v>
      </c>
      <c r="Q22" t="s">
        <v>138</v>
      </c>
      <c r="R22" t="s">
        <v>136</v>
      </c>
      <c r="T22" t="s">
        <v>101</v>
      </c>
      <c r="U22" t="s">
        <v>130</v>
      </c>
      <c r="V22" t="s">
        <v>106</v>
      </c>
      <c r="W22" t="s">
        <v>107</v>
      </c>
      <c r="X22" s="4" t="s">
        <v>149</v>
      </c>
      <c r="Y22" t="s">
        <v>101</v>
      </c>
      <c r="Z22" t="s">
        <v>101</v>
      </c>
      <c r="AA22" s="4" t="s">
        <v>100</v>
      </c>
      <c r="AB22" t="s">
        <v>136</v>
      </c>
      <c r="AG22" s="4" t="s">
        <v>101</v>
      </c>
      <c r="AI22" t="s">
        <v>135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134</v>
      </c>
    </row>
    <row r="23" ht="15" customHeight="1" spans="1:52" x14ac:dyDescent="0.25">
      <c r="A23" s="4" t="s">
        <v>138</v>
      </c>
      <c r="B23" t="s">
        <v>116</v>
      </c>
      <c r="C23" t="s">
        <v>148</v>
      </c>
      <c r="M23" t="s">
        <v>149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136</v>
      </c>
      <c r="U23" t="s">
        <v>145</v>
      </c>
      <c r="V23" s="4" t="s">
        <v>122</v>
      </c>
      <c r="W23" t="s">
        <v>140</v>
      </c>
      <c r="X23" t="s">
        <v>130</v>
      </c>
      <c r="Y23" t="s">
        <v>137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K23" t="s">
        <v>143</v>
      </c>
      <c r="AL23" t="s">
        <v>139</v>
      </c>
      <c r="AM23" t="s">
        <v>79</v>
      </c>
      <c r="AN23" t="s">
        <v>116</v>
      </c>
      <c r="AO23" t="s">
        <v>145</v>
      </c>
      <c r="AP23" t="s">
        <v>79</v>
      </c>
      <c r="AQ23" t="s">
        <v>136</v>
      </c>
      <c r="AR23" t="s">
        <v>149</v>
      </c>
      <c r="AS23" t="s">
        <v>115</v>
      </c>
      <c r="AT23" s="4" t="s">
        <v>122</v>
      </c>
      <c r="AU23" t="s">
        <v>110</v>
      </c>
    </row>
    <row r="24" ht="15" customHeight="1" spans="1:47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130</v>
      </c>
      <c r="T24" t="s">
        <v>115</v>
      </c>
      <c r="U24" t="s">
        <v>107</v>
      </c>
      <c r="V24" t="s">
        <v>130</v>
      </c>
      <c r="W24" t="s">
        <v>130</v>
      </c>
      <c r="X24" t="s">
        <v>124</v>
      </c>
      <c r="Y24" t="s">
        <v>100</v>
      </c>
      <c r="Z24" t="s">
        <v>111</v>
      </c>
      <c r="AA24" t="s">
        <v>107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134</v>
      </c>
      <c r="AO24" t="s">
        <v>141</v>
      </c>
      <c r="AP24" t="s">
        <v>110</v>
      </c>
      <c r="AQ24" t="s">
        <v>93</v>
      </c>
      <c r="AR24" t="s">
        <v>147</v>
      </c>
      <c r="AS24" s="4" t="s">
        <v>106</v>
      </c>
      <c r="AT24" t="s">
        <v>124</v>
      </c>
      <c r="AU24" t="s">
        <v>101</v>
      </c>
    </row>
    <row r="25" ht="15" customHeight="1" spans="1:47" x14ac:dyDescent="0.25">
      <c r="A25" t="s">
        <v>107</v>
      </c>
      <c r="B25" t="s">
        <v>80</v>
      </c>
      <c r="C25" t="s">
        <v>143</v>
      </c>
      <c r="M25" t="s">
        <v>106</v>
      </c>
      <c r="N25" t="s">
        <v>103</v>
      </c>
      <c r="O25" t="s">
        <v>145</v>
      </c>
      <c r="P25" t="s">
        <v>79</v>
      </c>
      <c r="Q25" t="s">
        <v>111</v>
      </c>
      <c r="R25" t="s">
        <v>107</v>
      </c>
      <c r="T25" t="s">
        <v>138</v>
      </c>
      <c r="U25" t="s">
        <v>125</v>
      </c>
      <c r="V25" t="s">
        <v>111</v>
      </c>
      <c r="W25" t="s">
        <v>125</v>
      </c>
      <c r="X25" t="s">
        <v>80</v>
      </c>
      <c r="Y25" t="s">
        <v>83</v>
      </c>
      <c r="Z25" t="s">
        <v>80</v>
      </c>
      <c r="AA25" t="s">
        <v>140</v>
      </c>
      <c r="AB25" t="s">
        <v>130</v>
      </c>
      <c r="AG25" t="s">
        <v>134</v>
      </c>
      <c r="AI25" t="s">
        <v>99</v>
      </c>
      <c r="AJ25" t="s">
        <v>136</v>
      </c>
      <c r="AL25" t="s">
        <v>129</v>
      </c>
      <c r="AM25" t="s">
        <v>137</v>
      </c>
      <c r="AP25" t="s">
        <v>136</v>
      </c>
      <c r="AQ25" t="s">
        <v>122</v>
      </c>
      <c r="AR25" s="4" t="s">
        <v>122</v>
      </c>
      <c r="AS25" t="s">
        <v>148</v>
      </c>
      <c r="AT25" t="s">
        <v>130</v>
      </c>
      <c r="AU25" t="s">
        <v>93</v>
      </c>
    </row>
    <row r="26" ht="15.75" customHeight="1" spans="1:47" x14ac:dyDescent="0.25">
      <c r="A26" t="s">
        <v>80</v>
      </c>
      <c r="B26" t="s">
        <v>143</v>
      </c>
      <c r="C26" t="s">
        <v>140</v>
      </c>
      <c r="M26" s="4" t="s">
        <v>126</v>
      </c>
      <c r="N26" t="s">
        <v>134</v>
      </c>
      <c r="O26" t="s">
        <v>107</v>
      </c>
      <c r="P26" t="s">
        <v>106</v>
      </c>
      <c r="Q26" t="s">
        <v>107</v>
      </c>
      <c r="R26" t="s">
        <v>140</v>
      </c>
      <c r="T26" s="4" t="s">
        <v>122</v>
      </c>
      <c r="V26" t="s">
        <v>140</v>
      </c>
      <c r="X26" t="s">
        <v>140</v>
      </c>
      <c r="Y26" t="s">
        <v>136</v>
      </c>
      <c r="Z26" t="s">
        <v>140</v>
      </c>
      <c r="AA26" t="s">
        <v>130</v>
      </c>
      <c r="AB26" t="s">
        <v>80</v>
      </c>
      <c r="AG26" t="s">
        <v>125</v>
      </c>
      <c r="AI26" t="s">
        <v>101</v>
      </c>
      <c r="AJ26" s="4" t="s">
        <v>106</v>
      </c>
      <c r="AL26" t="s">
        <v>79</v>
      </c>
      <c r="AM26" t="s">
        <v>136</v>
      </c>
      <c r="AP26" t="s">
        <v>93</v>
      </c>
      <c r="AQ26" t="s">
        <v>146</v>
      </c>
      <c r="AR26" t="s">
        <v>130</v>
      </c>
      <c r="AS26" t="s">
        <v>140</v>
      </c>
      <c r="AU26" t="s">
        <v>146</v>
      </c>
    </row>
    <row r="27" ht="15" customHeight="1" spans="1:47" x14ac:dyDescent="0.25">
      <c r="A27" t="s">
        <v>143</v>
      </c>
      <c r="M27" t="s">
        <v>111</v>
      </c>
      <c r="N27" t="s">
        <v>143</v>
      </c>
      <c r="O27" t="s">
        <v>125</v>
      </c>
      <c r="P27" s="4" t="s">
        <v>138</v>
      </c>
      <c r="Q27" t="s">
        <v>140</v>
      </c>
      <c r="R27" t="s">
        <v>141</v>
      </c>
      <c r="T27" t="s">
        <v>111</v>
      </c>
      <c r="V27" t="s">
        <v>143</v>
      </c>
      <c r="X27" t="s">
        <v>142</v>
      </c>
      <c r="Y27" t="s">
        <v>115</v>
      </c>
      <c r="Z27" t="s">
        <v>116</v>
      </c>
      <c r="AA27" t="s">
        <v>141</v>
      </c>
      <c r="AB27" t="s">
        <v>107</v>
      </c>
      <c r="AI27" t="s">
        <v>136</v>
      </c>
      <c r="AJ27" t="s">
        <v>130</v>
      </c>
      <c r="AL27" t="s">
        <v>110</v>
      </c>
      <c r="AM27" t="s">
        <v>106</v>
      </c>
      <c r="AP27" t="s">
        <v>122</v>
      </c>
      <c r="AQ27" s="4" t="s">
        <v>126</v>
      </c>
      <c r="AR27" t="s">
        <v>116</v>
      </c>
      <c r="AS27" t="s">
        <v>125</v>
      </c>
      <c r="AU27" s="4" t="s">
        <v>122</v>
      </c>
    </row>
    <row r="28" ht="15" customHeight="1" spans="1:47" x14ac:dyDescent="0.25">
      <c r="M28" t="s">
        <v>130</v>
      </c>
      <c r="P28" t="s">
        <v>130</v>
      </c>
      <c r="Q28" t="s">
        <v>80</v>
      </c>
      <c r="R28" t="s">
        <v>125</v>
      </c>
      <c r="T28" t="s">
        <v>107</v>
      </c>
      <c r="X28" t="s">
        <v>143</v>
      </c>
      <c r="Y28" t="s">
        <v>122</v>
      </c>
      <c r="Z28" t="s">
        <v>150</v>
      </c>
      <c r="AA28" t="s">
        <v>143</v>
      </c>
      <c r="AB28" t="s">
        <v>140</v>
      </c>
      <c r="AI28" t="s">
        <v>149</v>
      </c>
      <c r="AJ28" t="s">
        <v>80</v>
      </c>
      <c r="AL28" t="s">
        <v>137</v>
      </c>
      <c r="AM28" s="4" t="s">
        <v>101</v>
      </c>
      <c r="AP28" t="s">
        <v>146</v>
      </c>
      <c r="AQ28" t="s">
        <v>111</v>
      </c>
      <c r="AR28" t="s">
        <v>80</v>
      </c>
      <c r="AU28" t="s">
        <v>111</v>
      </c>
    </row>
    <row r="29" ht="15" customHeight="1" spans="13:47" x14ac:dyDescent="0.25">
      <c r="M29" t="s">
        <v>107</v>
      </c>
      <c r="P29" t="s">
        <v>80</v>
      </c>
      <c r="Q29" t="s">
        <v>125</v>
      </c>
      <c r="T29" t="s">
        <v>140</v>
      </c>
      <c r="X29" t="s">
        <v>125</v>
      </c>
      <c r="Y29" s="4" t="s">
        <v>106</v>
      </c>
      <c r="Z29" t="s">
        <v>143</v>
      </c>
      <c r="AB29" t="s">
        <v>142</v>
      </c>
      <c r="AI29" t="s">
        <v>115</v>
      </c>
      <c r="AJ29" t="s">
        <v>140</v>
      </c>
      <c r="AL29" t="s">
        <v>147</v>
      </c>
      <c r="AM29" t="s">
        <v>116</v>
      </c>
      <c r="AP29" s="4" t="s">
        <v>99</v>
      </c>
      <c r="AQ29" t="s">
        <v>80</v>
      </c>
      <c r="AR29" t="s">
        <v>107</v>
      </c>
      <c r="AU29" t="s">
        <v>130</v>
      </c>
    </row>
    <row r="30" ht="15" customHeight="1" spans="13:47" x14ac:dyDescent="0.25">
      <c r="M30" t="s">
        <v>140</v>
      </c>
      <c r="P30" t="s">
        <v>134</v>
      </c>
      <c r="T30" t="s">
        <v>125</v>
      </c>
      <c r="Y30" t="s">
        <v>116</v>
      </c>
      <c r="Z30" t="s">
        <v>125</v>
      </c>
      <c r="AB30" t="s">
        <v>141</v>
      </c>
      <c r="AI30" s="4" t="s">
        <v>106</v>
      </c>
      <c r="AJ30" t="s">
        <v>141</v>
      </c>
      <c r="AL30" t="s">
        <v>115</v>
      </c>
      <c r="AM30" t="s">
        <v>103</v>
      </c>
      <c r="AP30" t="s">
        <v>116</v>
      </c>
      <c r="AQ30" t="s">
        <v>143</v>
      </c>
      <c r="AR30" t="s">
        <v>145</v>
      </c>
      <c r="AU30" t="s">
        <v>80</v>
      </c>
    </row>
    <row r="31" ht="15" customHeight="1" spans="13:47" x14ac:dyDescent="0.25">
      <c r="M31" t="s">
        <v>141</v>
      </c>
      <c r="P31" t="s">
        <v>125</v>
      </c>
      <c r="Y31" t="s">
        <v>130</v>
      </c>
      <c r="AI31" t="s">
        <v>116</v>
      </c>
      <c r="AL31" s="4" t="s">
        <v>122</v>
      </c>
      <c r="AM31" t="s">
        <v>150</v>
      </c>
      <c r="AP31" t="s">
        <v>130</v>
      </c>
      <c r="AQ31" t="s">
        <v>125</v>
      </c>
      <c r="AR31" t="s">
        <v>143</v>
      </c>
      <c r="AU31" t="s">
        <v>148</v>
      </c>
    </row>
    <row r="32" ht="15" customHeight="1" spans="13:47" x14ac:dyDescent="0.25">
      <c r="M32" t="s">
        <v>125</v>
      </c>
      <c r="Y32" t="s">
        <v>111</v>
      </c>
      <c r="AI32" t="s">
        <v>145</v>
      </c>
      <c r="AL32" t="s">
        <v>124</v>
      </c>
      <c r="AM32" t="s">
        <v>125</v>
      </c>
      <c r="AP32" t="s">
        <v>140</v>
      </c>
      <c r="AU32" t="s">
        <v>145</v>
      </c>
    </row>
    <row r="33" ht="15" customHeight="1" spans="13:47" x14ac:dyDescent="0.25">
      <c r="Y33" t="s">
        <v>80</v>
      </c>
      <c r="AI33" t="s">
        <v>125</v>
      </c>
      <c r="AL33" t="s">
        <v>130</v>
      </c>
      <c r="AP33" t="s">
        <v>143</v>
      </c>
      <c r="AU33" t="s">
        <v>143</v>
      </c>
    </row>
    <row r="34" ht="15" customHeight="1" spans="25:47" x14ac:dyDescent="0.25">
      <c r="Y34" t="s">
        <v>145</v>
      </c>
      <c r="AL34" t="s">
        <v>103</v>
      </c>
      <c r="AU34" t="s">
        <v>125</v>
      </c>
    </row>
    <row r="35" ht="15" customHeight="1" spans="25:47" x14ac:dyDescent="0.25">
      <c r="Y35" t="s">
        <v>150</v>
      </c>
      <c r="AL35" t="s">
        <v>134</v>
      </c>
    </row>
    <row r="36" ht="15" customHeight="1" spans="25:38" x14ac:dyDescent="0.25">
      <c r="Y36" t="s">
        <v>107</v>
      </c>
      <c r="AL36" t="s">
        <v>150</v>
      </c>
    </row>
    <row r="37" ht="15" customHeight="1" spans="25:38" x14ac:dyDescent="0.25">
      <c r="Y37" t="s">
        <v>125</v>
      </c>
      <c r="AL37" t="s">
        <v>125</v>
      </c>
    </row>
    <row r="38" ht="15" customHeight="1" spans="25:38" x14ac:dyDescent="0.25">
      <c r="Y38" t="s">
        <v>143</v>
      </c>
    </row>
    <row r="39" ht="15" customHeight="1" spans="25:25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E7:BE30 BF7:XFD32 M9:AZ10 A9:K13 BB9:BB30 L9:L31 BC9:BD32 AV10:AV29 M11:AU12 AY11:AZ12 AW11:AW30 AX11:AX31 AC12:AC23 AY12:AY26 N12:N28 O13:AB14 AD13:AS14 D13:D29 G13:G29 M13:M30 AZ13:AZ30 F13:F31 AT13:AU31 I14:K16 B14:B19 U14:U26 E14:E27 C14:C28 S14:S28 H14:H29 A14:A31 AD14:AD31 V15:AB15 AI15:AS20 O15:P21 Q15:R28 AG15:AG30 AH15:AH31 T15:T32 AE15:AF32 Y16:AB16 V16:W23 Y17:Z20 J17:J31 I17:I32 K17:K32 X16:X29 AA17:AB17 AA18:AA25 AB18:AB29 Y20:Y30 AL21:AS21 AJ21:AK26 B21:B30 AI21:AI30 Z21:Z31 AL22:AN23 AP22:AS24 P22:P30 AO22:AO30 O22:O31 AQ23:AQ29 AL24:AM26 W24:W29 V24:V30 AN24:AN31 AR25:AR29 AP25:AP30 AS25:AS31 AJ27:AJ30 AM27:AM30 AK27:AK31 AL27:AL32">
    <cfRule type="expression" dxfId="1" priority="7">
      <formula>A4 &gt; "2026-02-01"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H42"/>
  <sheetViews>
    <sheetView workbookViewId="0" zoomScale="100" zoomScaleNormal="100">
      <selection activeCell="BT1" sqref="BT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86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127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133</v>
      </c>
      <c r="AN3" t="s">
        <v>88</v>
      </c>
      <c r="AO3" t="s">
        <v>132</v>
      </c>
      <c r="AP3" t="s">
        <v>98</v>
      </c>
      <c r="AQ3" t="s">
        <v>128</v>
      </c>
      <c r="AR3" t="s">
        <v>135</v>
      </c>
      <c r="AS3" t="s">
        <v>73</v>
      </c>
      <c r="AT3" t="s">
        <v>97</v>
      </c>
      <c r="AU3" t="s">
        <v>131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138</v>
      </c>
      <c r="BC3" t="s">
        <v>100</v>
      </c>
      <c r="BD3" t="s">
        <v>129</v>
      </c>
      <c r="BE3" t="s">
        <v>79</v>
      </c>
      <c r="BF3" t="s">
        <v>99</v>
      </c>
      <c r="BG3" t="s">
        <v>110</v>
      </c>
      <c r="BH3" t="s">
        <v>101</v>
      </c>
      <c r="BI3" t="s">
        <v>126</v>
      </c>
      <c r="BJ3" t="s">
        <v>137</v>
      </c>
      <c r="BK3" t="s">
        <v>144</v>
      </c>
      <c r="BL3" t="s">
        <v>136</v>
      </c>
      <c r="BM3" t="s">
        <v>149</v>
      </c>
      <c r="BN3" t="s">
        <v>147</v>
      </c>
      <c r="BO3" t="s">
        <v>93</v>
      </c>
      <c r="BP3" t="s">
        <v>115</v>
      </c>
      <c r="BQ3" t="s">
        <v>122</v>
      </c>
      <c r="BR3" t="s">
        <v>106</v>
      </c>
      <c r="BS3" t="s">
        <v>146</v>
      </c>
      <c r="BT3" t="s">
        <v>124</v>
      </c>
      <c r="BU3" t="s">
        <v>116</v>
      </c>
      <c r="BV3" t="s">
        <v>111</v>
      </c>
      <c r="BW3" t="s">
        <v>130</v>
      </c>
      <c r="BX3" t="s">
        <v>148</v>
      </c>
      <c r="BY3" t="s">
        <v>80</v>
      </c>
      <c r="BZ3" t="s">
        <v>145</v>
      </c>
      <c r="CA3" t="s">
        <v>107</v>
      </c>
      <c r="CB3" t="s">
        <v>103</v>
      </c>
      <c r="CC3" t="s">
        <v>140</v>
      </c>
      <c r="CD3" t="s">
        <v>134</v>
      </c>
      <c r="CE3" t="s">
        <v>150</v>
      </c>
      <c r="CF3" t="s">
        <v>151</v>
      </c>
      <c r="CG3" t="s">
        <v>125</v>
      </c>
      <c r="CH3" t="s">
        <v>141</v>
      </c>
    </row>
    <row r="4" ht="15" customHeight="1" spans="1:86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</row>
    <row r="5" ht="15" customHeight="1" spans="1:86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</row>
    <row r="6" ht="15" customHeight="1" spans="1:86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28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</row>
    <row r="7" ht="15" customHeight="1" spans="1:86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</row>
    <row r="8" ht="15" customHeight="1" spans="1:86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</row>
    <row r="9" ht="15" customHeight="1" spans="1:86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</row>
    <row r="10" ht="15" customHeight="1" spans="1:86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29</v>
      </c>
    </row>
    <row r="11" ht="15" customHeight="1" spans="1:86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23</v>
      </c>
      <c r="CH11" t="s">
        <v>30</v>
      </c>
    </row>
    <row r="12" ht="15" customHeight="1" spans="1:86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  <c r="CF12" t="s">
        <v>3</v>
      </c>
      <c r="CG12" t="s">
        <v>49</v>
      </c>
    </row>
    <row r="13" ht="15" customHeight="1" spans="1:85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  <c r="CF13" t="s">
        <v>4</v>
      </c>
      <c r="CG13" t="s">
        <v>19</v>
      </c>
    </row>
    <row r="14" ht="15" customHeight="1" spans="1:85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29</v>
      </c>
      <c r="CF14" t="s">
        <v>32</v>
      </c>
      <c r="CG14" t="s">
        <v>22</v>
      </c>
    </row>
    <row r="15" ht="15" customHeight="1" spans="1:85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22</v>
      </c>
      <c r="CF15" t="s">
        <v>26</v>
      </c>
      <c r="CG15" t="s">
        <v>45</v>
      </c>
    </row>
    <row r="16" ht="15" customHeight="1" spans="1:85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5</v>
      </c>
      <c r="CF16" t="s">
        <v>27</v>
      </c>
      <c r="CG16" t="s">
        <v>50</v>
      </c>
    </row>
    <row r="17" ht="15" customHeight="1" spans="1:85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  <c r="CF17" t="s">
        <v>24</v>
      </c>
      <c r="CG17" t="s">
        <v>15</v>
      </c>
    </row>
    <row r="18" ht="15" customHeight="1" spans="1:85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  <c r="CF18" t="s">
        <v>29</v>
      </c>
      <c r="CG18" t="s">
        <v>59</v>
      </c>
    </row>
    <row r="19" ht="15" customHeight="1" spans="1:85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  <c r="CF19" t="s">
        <v>28</v>
      </c>
      <c r="CG19" t="s">
        <v>26</v>
      </c>
    </row>
    <row r="20" ht="15" customHeight="1" spans="1:85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  <c r="CF20" t="s">
        <v>50</v>
      </c>
      <c r="CG20" t="s">
        <v>35</v>
      </c>
    </row>
    <row r="21" ht="15" customHeight="1" spans="1:85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  <c r="CF21" t="s">
        <v>16</v>
      </c>
      <c r="CG21" t="s">
        <v>20</v>
      </c>
    </row>
    <row r="22" ht="15" customHeight="1" spans="1:85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  <c r="CF22" t="s">
        <v>21</v>
      </c>
      <c r="CG22" t="s">
        <v>18</v>
      </c>
    </row>
    <row r="23" ht="15" customHeight="1" spans="1:85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  <c r="CF23" t="s">
        <v>46</v>
      </c>
      <c r="CG23" t="s">
        <v>28</v>
      </c>
    </row>
    <row r="24" ht="15" customHeight="1" spans="4:85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H14"/>
  <sheetViews>
    <sheetView workbookViewId="0" zoomScale="96" zoomScaleNormal="96">
      <selection activeCell="CD35" sqref="CD3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ht="15" customHeight="1" spans="1:86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127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133</v>
      </c>
      <c r="AN3" t="s">
        <v>88</v>
      </c>
      <c r="AO3" t="s">
        <v>132</v>
      </c>
      <c r="AP3" t="s">
        <v>98</v>
      </c>
      <c r="AQ3" t="s">
        <v>128</v>
      </c>
      <c r="AR3" t="s">
        <v>135</v>
      </c>
      <c r="AS3" t="s">
        <v>73</v>
      </c>
      <c r="AT3" t="s">
        <v>97</v>
      </c>
      <c r="AU3" t="s">
        <v>131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138</v>
      </c>
      <c r="BC3" t="s">
        <v>100</v>
      </c>
      <c r="BD3" t="s">
        <v>129</v>
      </c>
      <c r="BE3" t="s">
        <v>79</v>
      </c>
      <c r="BF3" t="s">
        <v>99</v>
      </c>
      <c r="BG3" t="s">
        <v>110</v>
      </c>
      <c r="BH3" t="s">
        <v>101</v>
      </c>
      <c r="BI3" t="s">
        <v>126</v>
      </c>
      <c r="BJ3" t="s">
        <v>137</v>
      </c>
      <c r="BK3" t="s">
        <v>144</v>
      </c>
      <c r="BL3" t="s">
        <v>136</v>
      </c>
      <c r="BM3" t="s">
        <v>149</v>
      </c>
      <c r="BN3" t="s">
        <v>147</v>
      </c>
      <c r="BO3" t="s">
        <v>93</v>
      </c>
      <c r="BP3" t="s">
        <v>115</v>
      </c>
      <c r="BQ3" t="s">
        <v>122</v>
      </c>
      <c r="BR3" t="s">
        <v>106</v>
      </c>
      <c r="BS3" t="s">
        <v>146</v>
      </c>
      <c r="BT3" t="s">
        <v>124</v>
      </c>
      <c r="BU3" t="s">
        <v>116</v>
      </c>
      <c r="BV3" t="s">
        <v>111</v>
      </c>
      <c r="BW3" t="s">
        <v>130</v>
      </c>
      <c r="BX3" t="s">
        <v>148</v>
      </c>
      <c r="BY3" t="s">
        <v>80</v>
      </c>
      <c r="BZ3" t="s">
        <v>145</v>
      </c>
      <c r="CA3" t="s">
        <v>107</v>
      </c>
      <c r="CB3" t="s">
        <v>103</v>
      </c>
      <c r="CC3" t="s">
        <v>140</v>
      </c>
      <c r="CD3" t="s">
        <v>134</v>
      </c>
      <c r="CE3" t="s">
        <v>150</v>
      </c>
      <c r="CF3" t="s">
        <v>143</v>
      </c>
      <c r="CG3" t="s">
        <v>125</v>
      </c>
      <c r="CH3" t="s">
        <v>141</v>
      </c>
    </row>
    <row r="4" ht="15" customHeight="1" spans="1:86" x14ac:dyDescent="0.25">
      <c r="A4" t="s">
        <v>152</v>
      </c>
      <c r="B4" t="s">
        <v>153</v>
      </c>
      <c r="C4" t="s">
        <v>154</v>
      </c>
      <c r="D4" t="s">
        <v>155</v>
      </c>
      <c r="E4" t="s">
        <v>156</v>
      </c>
      <c r="F4" t="s">
        <v>157</v>
      </c>
      <c r="G4" t="s">
        <v>158</v>
      </c>
      <c r="H4" t="s">
        <v>159</v>
      </c>
      <c r="I4" t="s">
        <v>160</v>
      </c>
      <c r="J4" t="s">
        <v>161</v>
      </c>
      <c r="K4" t="s">
        <v>162</v>
      </c>
      <c r="L4" t="s">
        <v>163</v>
      </c>
      <c r="M4" t="s">
        <v>164</v>
      </c>
      <c r="N4" t="s">
        <v>165</v>
      </c>
      <c r="O4" t="s">
        <v>166</v>
      </c>
      <c r="P4" t="s">
        <v>167</v>
      </c>
      <c r="Q4" t="s">
        <v>168</v>
      </c>
      <c r="R4" t="s">
        <v>169</v>
      </c>
      <c r="S4" t="s">
        <v>170</v>
      </c>
      <c r="T4" t="s">
        <v>171</v>
      </c>
      <c r="U4" t="s">
        <v>172</v>
      </c>
      <c r="V4" t="s">
        <v>173</v>
      </c>
      <c r="W4" t="s">
        <v>174</v>
      </c>
      <c r="X4" t="s">
        <v>175</v>
      </c>
      <c r="Y4" t="s">
        <v>176</v>
      </c>
      <c r="Z4" t="s">
        <v>177</v>
      </c>
      <c r="AA4" t="s">
        <v>178</v>
      </c>
      <c r="AB4" t="s">
        <v>179</v>
      </c>
      <c r="AC4" t="s">
        <v>180</v>
      </c>
      <c r="AD4" t="s">
        <v>181</v>
      </c>
      <c r="AE4" t="s">
        <v>158</v>
      </c>
      <c r="AF4" t="s">
        <v>182</v>
      </c>
      <c r="AG4" t="s">
        <v>183</v>
      </c>
      <c r="AH4" t="s">
        <v>184</v>
      </c>
      <c r="AI4" t="s">
        <v>185</v>
      </c>
      <c r="AJ4" t="s">
        <v>186</v>
      </c>
      <c r="AK4" t="s">
        <v>187</v>
      </c>
      <c r="AL4" t="s">
        <v>188</v>
      </c>
      <c r="AM4" t="s">
        <v>189</v>
      </c>
      <c r="AN4" t="s">
        <v>190</v>
      </c>
      <c r="AO4" t="s">
        <v>191</v>
      </c>
      <c r="AP4" t="s">
        <v>192</v>
      </c>
      <c r="AQ4" t="s">
        <v>193</v>
      </c>
      <c r="AR4" t="s">
        <v>194</v>
      </c>
      <c r="AS4" t="s">
        <v>195</v>
      </c>
      <c r="AT4" t="s">
        <v>196</v>
      </c>
      <c r="AU4" t="s">
        <v>197</v>
      </c>
      <c r="AV4" t="s">
        <v>198</v>
      </c>
      <c r="AW4" t="s">
        <v>199</v>
      </c>
      <c r="AX4" t="s">
        <v>200</v>
      </c>
      <c r="AY4" t="s">
        <v>201</v>
      </c>
      <c r="AZ4" t="s">
        <v>202</v>
      </c>
      <c r="BA4" t="s">
        <v>203</v>
      </c>
      <c r="BB4" t="s">
        <v>204</v>
      </c>
      <c r="BC4" t="s">
        <v>205</v>
      </c>
      <c r="BD4" t="s">
        <v>206</v>
      </c>
      <c r="BE4" t="s">
        <v>207</v>
      </c>
      <c r="BF4" t="s">
        <v>208</v>
      </c>
      <c r="BG4" t="s">
        <v>209</v>
      </c>
      <c r="BH4" t="s">
        <v>210</v>
      </c>
      <c r="BI4" t="s">
        <v>211</v>
      </c>
      <c r="BJ4" t="s">
        <v>212</v>
      </c>
      <c r="BK4" t="s">
        <v>213</v>
      </c>
      <c r="BL4" t="s">
        <v>214</v>
      </c>
      <c r="BM4" t="s">
        <v>215</v>
      </c>
      <c r="BN4" t="s">
        <v>216</v>
      </c>
      <c r="BO4" t="s">
        <v>217</v>
      </c>
      <c r="BP4" t="s">
        <v>218</v>
      </c>
      <c r="BQ4" t="s">
        <v>219</v>
      </c>
      <c r="BR4" t="s">
        <v>220</v>
      </c>
      <c r="BS4" t="s">
        <v>221</v>
      </c>
      <c r="BT4" t="s">
        <v>222</v>
      </c>
      <c r="BU4" t="s">
        <v>223</v>
      </c>
      <c r="BV4" t="s">
        <v>224</v>
      </c>
      <c r="BW4" t="s">
        <v>225</v>
      </c>
      <c r="BX4" t="s">
        <v>226</v>
      </c>
      <c r="BY4" t="s">
        <v>227</v>
      </c>
      <c r="BZ4" t="s">
        <v>228</v>
      </c>
      <c r="CA4" t="s">
        <v>229</v>
      </c>
      <c r="CB4" t="s">
        <v>230</v>
      </c>
      <c r="CC4" t="s">
        <v>231</v>
      </c>
      <c r="CD4" t="s">
        <v>232</v>
      </c>
      <c r="CE4" t="s">
        <v>233</v>
      </c>
      <c r="CF4" t="s">
        <v>234</v>
      </c>
      <c r="CG4" t="s">
        <v>235</v>
      </c>
      <c r="CH4" t="s">
        <v>236</v>
      </c>
    </row>
    <row r="5" ht="15" customHeight="1" spans="1:86" x14ac:dyDescent="0.25">
      <c r="A5" t="s">
        <v>237</v>
      </c>
      <c r="D5" t="s">
        <v>238</v>
      </c>
      <c r="E5" t="s">
        <v>239</v>
      </c>
      <c r="G5" t="s">
        <v>240</v>
      </c>
      <c r="H5" t="s">
        <v>241</v>
      </c>
      <c r="I5" t="s">
        <v>242</v>
      </c>
      <c r="J5" t="s">
        <v>243</v>
      </c>
      <c r="K5" t="s">
        <v>244</v>
      </c>
      <c r="L5" t="s">
        <v>245</v>
      </c>
      <c r="M5" t="s">
        <v>246</v>
      </c>
      <c r="N5" t="s">
        <v>247</v>
      </c>
      <c r="P5" t="s">
        <v>248</v>
      </c>
      <c r="Q5" t="s">
        <v>169</v>
      </c>
      <c r="T5" t="s">
        <v>249</v>
      </c>
      <c r="U5" t="s">
        <v>250</v>
      </c>
      <c r="W5" t="s">
        <v>251</v>
      </c>
      <c r="AA5" t="s">
        <v>252</v>
      </c>
      <c r="AB5" t="s">
        <v>253</v>
      </c>
      <c r="AE5" t="s">
        <v>254</v>
      </c>
      <c r="AG5" t="s">
        <v>255</v>
      </c>
      <c r="AI5" t="s">
        <v>256</v>
      </c>
      <c r="AJ5" t="s">
        <v>257</v>
      </c>
      <c r="AK5" t="s">
        <v>258</v>
      </c>
      <c r="AN5" t="s">
        <v>259</v>
      </c>
      <c r="AP5" t="s">
        <v>260</v>
      </c>
      <c r="AS5" t="s">
        <v>261</v>
      </c>
      <c r="AT5" t="s">
        <v>262</v>
      </c>
      <c r="AV5" t="s">
        <v>263</v>
      </c>
      <c r="AX5" t="s">
        <v>264</v>
      </c>
      <c r="AY5" t="s">
        <v>265</v>
      </c>
      <c r="AZ5" t="s">
        <v>266</v>
      </c>
      <c r="BB5" t="s">
        <v>267</v>
      </c>
      <c r="BC5" t="s">
        <v>268</v>
      </c>
      <c r="BD5" t="s">
        <v>269</v>
      </c>
      <c r="BE5" t="s">
        <v>270</v>
      </c>
      <c r="BF5" t="s">
        <v>271</v>
      </c>
      <c r="BG5" t="s">
        <v>272</v>
      </c>
      <c r="BH5" t="s">
        <v>273</v>
      </c>
      <c r="BI5" t="s">
        <v>274</v>
      </c>
      <c r="BJ5" t="s">
        <v>275</v>
      </c>
      <c r="BL5" t="s">
        <v>276</v>
      </c>
      <c r="BO5" t="s">
        <v>277</v>
      </c>
      <c r="BP5" t="s">
        <v>278</v>
      </c>
      <c r="BQ5" t="s">
        <v>279</v>
      </c>
      <c r="BR5" t="s">
        <v>280</v>
      </c>
      <c r="BU5" t="s">
        <v>281</v>
      </c>
      <c r="BV5" t="s">
        <v>282</v>
      </c>
      <c r="BW5" t="s">
        <v>283</v>
      </c>
      <c r="BY5" t="s">
        <v>284</v>
      </c>
      <c r="BZ5" t="s">
        <v>285</v>
      </c>
      <c r="CA5" t="s">
        <v>286</v>
      </c>
      <c r="CC5" t="s">
        <v>287</v>
      </c>
      <c r="CD5" t="s">
        <v>288</v>
      </c>
      <c r="CF5" t="s">
        <v>289</v>
      </c>
      <c r="CG5" t="s">
        <v>290</v>
      </c>
      <c r="CH5" t="s">
        <v>291</v>
      </c>
    </row>
    <row r="6" ht="15" customHeight="1" spans="1:86" x14ac:dyDescent="0.25">
      <c r="A6" t="s">
        <v>292</v>
      </c>
      <c r="D6" t="s">
        <v>293</v>
      </c>
      <c r="E6" t="s">
        <v>294</v>
      </c>
      <c r="G6" t="s">
        <v>295</v>
      </c>
      <c r="H6" t="s">
        <v>296</v>
      </c>
      <c r="J6" t="s">
        <v>297</v>
      </c>
      <c r="L6" t="s">
        <v>298</v>
      </c>
      <c r="M6" t="s">
        <v>299</v>
      </c>
      <c r="N6" t="s">
        <v>300</v>
      </c>
      <c r="P6" t="s">
        <v>301</v>
      </c>
      <c r="Q6" t="s">
        <v>302</v>
      </c>
      <c r="T6" t="s">
        <v>303</v>
      </c>
      <c r="U6" t="s">
        <v>304</v>
      </c>
      <c r="W6" t="s">
        <v>305</v>
      </c>
      <c r="AE6" t="s">
        <v>306</v>
      </c>
      <c r="AG6" t="s">
        <v>307</v>
      </c>
      <c r="AI6" t="s">
        <v>308</v>
      </c>
      <c r="AJ6" t="s">
        <v>309</v>
      </c>
      <c r="AN6" t="s">
        <v>310</v>
      </c>
      <c r="AP6" t="s">
        <v>311</v>
      </c>
      <c r="AT6" t="s">
        <v>312</v>
      </c>
      <c r="AV6" t="s">
        <v>313</v>
      </c>
      <c r="AX6" t="s">
        <v>314</v>
      </c>
      <c r="AY6" t="s">
        <v>315</v>
      </c>
      <c r="AZ6" t="s">
        <v>316</v>
      </c>
      <c r="BC6" t="s">
        <v>317</v>
      </c>
      <c r="BD6" t="s">
        <v>318</v>
      </c>
      <c r="BE6" t="s">
        <v>319</v>
      </c>
      <c r="BF6" t="s">
        <v>320</v>
      </c>
      <c r="BG6" t="s">
        <v>321</v>
      </c>
      <c r="BH6" t="s">
        <v>322</v>
      </c>
      <c r="BI6" t="s">
        <v>323</v>
      </c>
      <c r="BL6" t="s">
        <v>324</v>
      </c>
      <c r="BO6" t="s">
        <v>325</v>
      </c>
      <c r="BP6" t="s">
        <v>326</v>
      </c>
      <c r="BQ6" t="s">
        <v>327</v>
      </c>
      <c r="BR6" t="s">
        <v>328</v>
      </c>
      <c r="BU6" t="s">
        <v>329</v>
      </c>
      <c r="BV6" t="s">
        <v>330</v>
      </c>
      <c r="BW6" t="s">
        <v>331</v>
      </c>
      <c r="BY6" t="s">
        <v>332</v>
      </c>
      <c r="CA6" t="s">
        <v>333</v>
      </c>
      <c r="CC6" t="s">
        <v>334</v>
      </c>
      <c r="CF6" t="s">
        <v>335</v>
      </c>
      <c r="CG6" t="s">
        <v>336</v>
      </c>
    </row>
    <row r="7" ht="15" customHeight="1" spans="1:85" x14ac:dyDescent="0.25">
      <c r="A7" t="s">
        <v>337</v>
      </c>
      <c r="D7" t="s">
        <v>338</v>
      </c>
      <c r="E7" t="s">
        <v>339</v>
      </c>
      <c r="G7" t="s">
        <v>340</v>
      </c>
      <c r="H7" t="s">
        <v>341</v>
      </c>
      <c r="J7" t="s">
        <v>342</v>
      </c>
      <c r="L7" t="s">
        <v>343</v>
      </c>
      <c r="M7" t="s">
        <v>344</v>
      </c>
      <c r="N7" t="s">
        <v>345</v>
      </c>
      <c r="P7" t="s">
        <v>346</v>
      </c>
      <c r="Q7" t="s">
        <v>347</v>
      </c>
      <c r="T7" t="s">
        <v>348</v>
      </c>
      <c r="U7" t="s">
        <v>349</v>
      </c>
      <c r="W7" t="s">
        <v>350</v>
      </c>
      <c r="AG7" t="s">
        <v>351</v>
      </c>
      <c r="AI7" t="s">
        <v>352</v>
      </c>
      <c r="AJ7" t="s">
        <v>187</v>
      </c>
      <c r="AN7" t="s">
        <v>353</v>
      </c>
      <c r="AP7" t="s">
        <v>354</v>
      </c>
      <c r="AT7" t="s">
        <v>355</v>
      </c>
      <c r="AV7" t="s">
        <v>356</v>
      </c>
      <c r="AX7" t="s">
        <v>357</v>
      </c>
      <c r="AY7" t="s">
        <v>358</v>
      </c>
      <c r="AZ7" t="s">
        <v>359</v>
      </c>
      <c r="BC7" t="s">
        <v>360</v>
      </c>
      <c r="BD7" t="s">
        <v>361</v>
      </c>
      <c r="BE7" t="s">
        <v>362</v>
      </c>
      <c r="BF7" t="s">
        <v>363</v>
      </c>
      <c r="BG7" t="s">
        <v>364</v>
      </c>
      <c r="BH7" t="s">
        <v>365</v>
      </c>
      <c r="BL7" t="s">
        <v>366</v>
      </c>
      <c r="BO7" t="s">
        <v>367</v>
      </c>
      <c r="BP7" t="s">
        <v>368</v>
      </c>
      <c r="BQ7" t="s">
        <v>369</v>
      </c>
      <c r="BR7" t="s">
        <v>370</v>
      </c>
      <c r="BU7" t="s">
        <v>371</v>
      </c>
      <c r="BV7" t="s">
        <v>372</v>
      </c>
      <c r="BW7" t="s">
        <v>373</v>
      </c>
      <c r="BY7" t="s">
        <v>374</v>
      </c>
      <c r="CA7" t="s">
        <v>375</v>
      </c>
      <c r="CC7" t="s">
        <v>376</v>
      </c>
      <c r="CF7" t="s">
        <v>377</v>
      </c>
      <c r="CG7" t="s">
        <v>378</v>
      </c>
    </row>
    <row r="8" ht="15" customHeight="1" spans="1:85" x14ac:dyDescent="0.25">
      <c r="A8" t="s">
        <v>379</v>
      </c>
      <c r="D8" t="s">
        <v>380</v>
      </c>
      <c r="E8" t="s">
        <v>381</v>
      </c>
      <c r="G8" t="s">
        <v>382</v>
      </c>
      <c r="H8" t="s">
        <v>383</v>
      </c>
      <c r="J8" t="s">
        <v>384</v>
      </c>
      <c r="N8" t="s">
        <v>385</v>
      </c>
      <c r="P8" t="s">
        <v>386</v>
      </c>
      <c r="Q8" t="s">
        <v>387</v>
      </c>
      <c r="T8" t="s">
        <v>388</v>
      </c>
      <c r="U8" t="s">
        <v>389</v>
      </c>
      <c r="AG8" t="s">
        <v>390</v>
      </c>
      <c r="AI8" t="s">
        <v>391</v>
      </c>
      <c r="AJ8" t="s">
        <v>392</v>
      </c>
      <c r="AN8" t="s">
        <v>393</v>
      </c>
      <c r="AP8" t="s">
        <v>394</v>
      </c>
      <c r="AT8" t="s">
        <v>395</v>
      </c>
      <c r="AX8" t="s">
        <v>396</v>
      </c>
      <c r="AY8" t="s">
        <v>397</v>
      </c>
      <c r="AZ8" t="s">
        <v>398</v>
      </c>
      <c r="BC8" t="s">
        <v>399</v>
      </c>
      <c r="BD8" t="s">
        <v>400</v>
      </c>
      <c r="BE8" t="s">
        <v>401</v>
      </c>
      <c r="BF8" t="s">
        <v>402</v>
      </c>
      <c r="BG8" t="s">
        <v>403</v>
      </c>
      <c r="BH8" t="s">
        <v>404</v>
      </c>
      <c r="BP8" t="s">
        <v>405</v>
      </c>
      <c r="BQ8" t="s">
        <v>406</v>
      </c>
      <c r="BR8" t="s">
        <v>407</v>
      </c>
      <c r="BV8" t="s">
        <v>408</v>
      </c>
      <c r="BW8" t="s">
        <v>409</v>
      </c>
      <c r="BY8" t="s">
        <v>410</v>
      </c>
      <c r="CA8" t="s">
        <v>411</v>
      </c>
      <c r="CF8" t="s">
        <v>412</v>
      </c>
      <c r="CG8" t="s">
        <v>413</v>
      </c>
    </row>
    <row r="9" ht="15" customHeight="1" spans="4:85" x14ac:dyDescent="0.25">
      <c r="D9" t="s">
        <v>414</v>
      </c>
      <c r="H9" t="s">
        <v>415</v>
      </c>
      <c r="J9" t="s">
        <v>416</v>
      </c>
      <c r="P9" t="s">
        <v>417</v>
      </c>
      <c r="Q9" t="s">
        <v>418</v>
      </c>
      <c r="T9" t="s">
        <v>419</v>
      </c>
      <c r="AG9" t="s">
        <v>420</v>
      </c>
      <c r="AJ9" t="s">
        <v>421</v>
      </c>
      <c r="AX9" t="s">
        <v>422</v>
      </c>
      <c r="AY9" t="s">
        <v>423</v>
      </c>
      <c r="AZ9" t="s">
        <v>424</v>
      </c>
      <c r="BD9" t="s">
        <v>425</v>
      </c>
      <c r="BE9" t="s">
        <v>426</v>
      </c>
      <c r="BF9" t="s">
        <v>427</v>
      </c>
      <c r="BG9" t="s">
        <v>428</v>
      </c>
      <c r="BH9" t="s">
        <v>194</v>
      </c>
      <c r="BQ9" t="s">
        <v>429</v>
      </c>
      <c r="BR9" t="s">
        <v>430</v>
      </c>
      <c r="BY9" t="s">
        <v>431</v>
      </c>
      <c r="CA9" t="s">
        <v>432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5" t="s">
        <v>433</v>
      </c>
      <c r="B1" s="6"/>
      <c r="C1" s="7">
        <f>COUNTIF(AHL_DAT_STRING!4:18,"&lt;&gt;")</f>
        <v>279</v>
      </c>
    </row>
    <row r="2" ht="15.75" customHeight="1" spans="1:3" x14ac:dyDescent="0.25">
      <c r="A2" s="8" t="s">
        <v>434</v>
      </c>
      <c r="B2" s="9"/>
      <c r="C2" s="10">
        <f>C1*4</f>
        <v>1116</v>
      </c>
    </row>
    <row r="3" spans="1:8" x14ac:dyDescent="0.25">
      <c r="A3" s="11" t="s">
        <v>434</v>
      </c>
      <c r="B3" s="12">
        <f>COUNTIF(AHL!4:50, "&lt;&gt;")</f>
        <v>1117</v>
      </c>
      <c r="E3" s="13" t="s">
        <v>435</v>
      </c>
      <c r="F3" s="9"/>
      <c r="G3" s="9"/>
      <c r="H3" s="9"/>
    </row>
    <row r="4" ht="15.75" customHeight="1" spans="1:12" x14ac:dyDescent="0.25">
      <c r="A4" s="14" t="s">
        <v>436</v>
      </c>
      <c r="B4" s="15">
        <f>SUMIF(AHL!2:2,"sl",AHL!1:1)</f>
        <v>195</v>
      </c>
      <c r="C4">
        <f>AHL!AH1</f>
        <v>14</v>
      </c>
      <c r="E4" t="s">
        <v>437</v>
      </c>
      <c r="F4" t="s">
        <v>438</v>
      </c>
      <c r="G4" t="s">
        <v>439</v>
      </c>
      <c r="H4" t="s">
        <v>440</v>
      </c>
      <c r="I4" t="s">
        <v>441</v>
      </c>
      <c r="J4" t="s">
        <v>442</v>
      </c>
      <c r="K4" t="s">
        <v>443</v>
      </c>
      <c r="L4" t="s">
        <v>444</v>
      </c>
    </row>
    <row r="5" ht="15.75" customHeight="1" spans="1:12" x14ac:dyDescent="0.25">
      <c r="A5" s="14" t="s">
        <v>445</v>
      </c>
      <c r="B5" s="15">
        <f>SUMIF(AHL!2:2,"hr",AHL!1:1)</f>
        <v>0</v>
      </c>
      <c r="E5" s="16" t="s">
        <v>436</v>
      </c>
      <c r="F5" s="17">
        <v>1</v>
      </c>
      <c r="G5" s="18">
        <f>F5/13</f>
        <v>0.07692307692307693</v>
      </c>
      <c r="H5" s="19">
        <f>B4/B3</f>
        <v>0.17457475380483437</v>
      </c>
      <c r="I5" s="20">
        <f>C2*G5</f>
        <v>85.84615384615385</v>
      </c>
      <c r="J5" s="21">
        <f>B4</f>
        <v>195</v>
      </c>
      <c r="K5" s="22">
        <f>J5-I5</f>
        <v>109.15384615384615</v>
      </c>
      <c r="L5" s="23">
        <f>K5/4</f>
        <v>27.288461538461537</v>
      </c>
    </row>
    <row r="6" ht="15.75" customHeight="1" spans="1:12" x14ac:dyDescent="0.25">
      <c r="A6" s="14" t="s">
        <v>1</v>
      </c>
      <c r="B6" s="15">
        <f>SUMIF(AHL!2:2,"it",AHL!1:1)</f>
        <v>452</v>
      </c>
      <c r="C6">
        <f>AHL!AB1</f>
        <v>25</v>
      </c>
      <c r="E6" s="24" t="s">
        <v>445</v>
      </c>
      <c r="F6" s="25">
        <v>1</v>
      </c>
      <c r="G6" s="26">
        <f>F6/13</f>
        <v>0.07692307692307693</v>
      </c>
      <c r="H6" s="19">
        <f>B5/B3</f>
        <v>0</v>
      </c>
      <c r="I6" s="27">
        <f>C2*G6</f>
        <v>85.84615384615385</v>
      </c>
      <c r="J6" s="21">
        <f>B5</f>
        <v>0</v>
      </c>
      <c r="K6" s="28">
        <f>J6-I6</f>
        <v>-85.84615384615385</v>
      </c>
      <c r="L6" s="23">
        <f t="shared" ref="L6" si="0">K6/4</f>
        <v>-21.461538461538463</v>
      </c>
    </row>
    <row r="7" ht="15.75" customHeight="1" spans="1:12" x14ac:dyDescent="0.25">
      <c r="A7" s="29" t="s">
        <v>2</v>
      </c>
      <c r="B7" s="30">
        <f>SUMIF(AHL!2:2,"au",AHL!1:1)</f>
        <v>469</v>
      </c>
      <c r="C7">
        <f>SUM(AHL!AV1,AHL!BA1,AHL!L1,AHL!AF1,AHL!BF1,AHL!BG1,AHL!BH1,AHL!BE1)</f>
        <v>45</v>
      </c>
      <c r="E7" s="31" t="s">
        <v>446</v>
      </c>
      <c r="F7" s="32">
        <v>2</v>
      </c>
      <c r="G7" s="33">
        <f t="shared" ref="G7:G9" si="1">F7/13</f>
        <v>0.15384615384615385</v>
      </c>
      <c r="H7" s="34">
        <f>(B5+B4)/B3</f>
        <v>0.17457475380483437</v>
      </c>
      <c r="I7" s="35">
        <f>C2*G7</f>
        <v>171.6923076923077</v>
      </c>
      <c r="J7" s="36">
        <f>B4+B5</f>
        <v>195</v>
      </c>
      <c r="K7" s="37">
        <f>J7-I7</f>
        <v>23.307692307692292</v>
      </c>
      <c r="L7" s="38">
        <f>K7/4</f>
        <v>5.826923076923073</v>
      </c>
    </row>
    <row r="8" ht="15.75" customHeight="1" spans="1:12" x14ac:dyDescent="0.25">
      <c r="A8" s="39" t="s">
        <v>447</v>
      </c>
      <c r="C8">
        <f>SUM(C4:C7)</f>
        <v>84</v>
      </c>
      <c r="E8" s="14" t="s">
        <v>448</v>
      </c>
      <c r="F8" s="40">
        <v>7</v>
      </c>
      <c r="G8" s="41">
        <f t="shared" si="1"/>
        <v>0.5384615384615384</v>
      </c>
      <c r="H8" s="42">
        <f>B6/B3</f>
        <v>0.40465532676812893</v>
      </c>
      <c r="I8" s="43">
        <f>C2*G8</f>
        <v>600.9230769230769</v>
      </c>
      <c r="J8">
        <f>B6</f>
        <v>452</v>
      </c>
      <c r="K8" s="44">
        <f>J8-I8</f>
        <v>-148.9230769230769</v>
      </c>
      <c r="L8" s="45">
        <f>K8/4</f>
        <v>-37.230769230769226</v>
      </c>
    </row>
    <row r="9" ht="15.75" customHeight="1" spans="1:12" x14ac:dyDescent="0.25">
      <c r="A9" t="s">
        <v>449</v>
      </c>
      <c r="B9">
        <f>SUM(B4:B7)</f>
        <v>1116</v>
      </c>
      <c r="E9" s="29" t="s">
        <v>450</v>
      </c>
      <c r="F9" s="46">
        <v>4</v>
      </c>
      <c r="G9" s="47">
        <f t="shared" si="1"/>
        <v>0.3076923076923077</v>
      </c>
      <c r="H9" s="42">
        <f>B7/B3</f>
        <v>0.41987466427931963</v>
      </c>
      <c r="I9" s="48">
        <f>C2*G9</f>
        <v>343.3846153846154</v>
      </c>
      <c r="J9" s="4">
        <f>B7</f>
        <v>469</v>
      </c>
      <c r="K9" s="49">
        <f>J9-I9</f>
        <v>125.61538461538458</v>
      </c>
      <c r="L9" s="50">
        <f>K9/4</f>
        <v>31.403846153846146</v>
      </c>
    </row>
    <row r="11" spans="8:12" x14ac:dyDescent="0.25">
      <c r="H11" s="51" t="s">
        <v>451</v>
      </c>
      <c r="I11" s="52">
        <f>SUM(I7:I9)</f>
        <v>1116</v>
      </c>
      <c r="J11" s="53">
        <f>SUM(J7:J9)</f>
        <v>1116</v>
      </c>
      <c r="K11" s="54">
        <f>SUM(K7:K9)</f>
        <v>0</v>
      </c>
      <c r="L11" s="55">
        <f>SUM(L7:L9)</f>
        <v>0</v>
      </c>
    </row>
    <row r="12" spans="5:5" x14ac:dyDescent="0.25">
      <c r="E12" t="s">
        <v>452</v>
      </c>
    </row>
    <row r="13" ht="15.75" customHeight="1" spans="1:10" x14ac:dyDescent="0.25">
      <c r="A13" t="s">
        <v>453</v>
      </c>
      <c r="B13">
        <f>C1/2/6</f>
        <v>23.25</v>
      </c>
      <c r="F13" t="s">
        <v>454</v>
      </c>
      <c r="G13" t="s">
        <v>455</v>
      </c>
      <c r="J13" s="56" t="s">
        <v>456</v>
      </c>
    </row>
    <row r="14" ht="15.75" customHeight="1" spans="5:10" x14ac:dyDescent="0.25">
      <c r="E14" t="s">
        <v>450</v>
      </c>
      <c r="F14" s="11">
        <v>11</v>
      </c>
      <c r="G14" s="57">
        <v>13</v>
      </c>
      <c r="H14" s="58">
        <f>SUM(F14:G14)</f>
        <v>24</v>
      </c>
      <c r="J14">
        <f>B7/H14</f>
        <v>19.541666666666668</v>
      </c>
    </row>
    <row r="15" ht="15.75" customHeight="1" spans="5:10" x14ac:dyDescent="0.25">
      <c r="E15" t="s">
        <v>457</v>
      </c>
      <c r="F15" s="14">
        <v>9</v>
      </c>
      <c r="G15" s="59">
        <v>12</v>
      </c>
      <c r="H15" s="58">
        <f>SUM(F15:G15)</f>
        <v>21</v>
      </c>
      <c r="J15">
        <f>B6/H15</f>
        <v>21.523809523809526</v>
      </c>
    </row>
    <row r="16" ht="15.75" customHeight="1" spans="5:10" x14ac:dyDescent="0.25">
      <c r="E16" t="s">
        <v>446</v>
      </c>
      <c r="F16" s="60">
        <v>6</v>
      </c>
      <c r="G16" s="61">
        <v>6</v>
      </c>
      <c r="H16" s="58">
        <f>SUM(F16:G16)</f>
        <v>12</v>
      </c>
      <c r="J16">
        <f>B4/H16</f>
        <v>16.25</v>
      </c>
    </row>
    <row r="17" ht="15.75" customHeight="1" spans="5:10" x14ac:dyDescent="0.25">
      <c r="E17" s="62" t="s">
        <v>458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19.596491228070175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9" t="s">
        <v>459</v>
      </c>
      <c r="E1" s="9"/>
      <c r="F1" s="9"/>
      <c r="G1" s="9"/>
    </row>
    <row r="2" spans="1:1" x14ac:dyDescent="0.25">
      <c r="A2" s="64" t="s">
        <v>460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461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2026-02-24T08:59:44Z</dcterms:modified>
</cp:coreProperties>
</file>