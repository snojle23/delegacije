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D71C983B-6E47-4C2D-ABC6-54B41F88B0A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HL" sheetId="1" r:id="rId1"/>
    <sheet name="AHL_DAT" sheetId="3" r:id="rId2"/>
    <sheet name="AHL_DAT_STRING" sheetId="4" r:id="rId3"/>
    <sheet name="Sheet1" sheetId="5" r:id="rId4"/>
    <sheet name="Sheet2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5" l="1"/>
  <c r="K6" i="5"/>
  <c r="K5" i="5"/>
  <c r="L5" i="5" s="1"/>
  <c r="M5" i="5" s="1"/>
  <c r="J7" i="5"/>
  <c r="J6" i="5"/>
  <c r="J5" i="5"/>
  <c r="I7" i="5"/>
  <c r="I6" i="5"/>
  <c r="I5" i="5"/>
  <c r="H7" i="5"/>
  <c r="H6" i="5"/>
  <c r="H5" i="5"/>
  <c r="B6" i="5"/>
  <c r="B5" i="5"/>
  <c r="B4" i="5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B3" i="5"/>
  <c r="C1" i="5"/>
  <c r="C2" i="5" s="1"/>
  <c r="C1" i="1"/>
  <c r="B1" i="1"/>
  <c r="A1" i="1"/>
  <c r="L7" i="5" l="1"/>
  <c r="M7" i="5" s="1"/>
  <c r="L6" i="5"/>
  <c r="M6" i="5" s="1"/>
  <c r="B8" i="5"/>
</calcChain>
</file>

<file path=xl/sharedStrings.xml><?xml version="1.0" encoding="utf-8"?>
<sst xmlns="http://schemas.openxmlformats.org/spreadsheetml/2006/main" count="3626" uniqueCount="562">
  <si>
    <t>De zordoMa</t>
  </si>
  <si>
    <t>HolzerTo</t>
  </si>
  <si>
    <t>OrelSt</t>
  </si>
  <si>
    <t>LazzeriAl</t>
  </si>
  <si>
    <t>RuetzMa</t>
  </si>
  <si>
    <t>CristeliMa</t>
  </si>
  <si>
    <t>SchauerJa</t>
  </si>
  <si>
    <t>BulovecMi</t>
  </si>
  <si>
    <t>PinieOm</t>
  </si>
  <si>
    <t>SeewaldJe</t>
  </si>
  <si>
    <t>HlavatyAl</t>
  </si>
  <si>
    <t>JägerRi</t>
  </si>
  <si>
    <t>RinkerDa</t>
  </si>
  <si>
    <t>BrondiPa</t>
  </si>
  <si>
    <t>KainbergerJu</t>
  </si>
  <si>
    <t>MoidlMa</t>
  </si>
  <si>
    <t>BajtMi</t>
  </si>
  <si>
    <t>MoschenAn</t>
  </si>
  <si>
    <t>FleischmannLu</t>
  </si>
  <si>
    <t>PuffWo</t>
  </si>
  <si>
    <t>JeramFi</t>
  </si>
  <si>
    <t>WeissAl</t>
  </si>
  <si>
    <t>BergantAn</t>
  </si>
  <si>
    <t>CusinFe</t>
  </si>
  <si>
    <t>StefenelliFe</t>
  </si>
  <si>
    <t>VirtaTu</t>
  </si>
  <si>
    <t>PaceJa</t>
  </si>
  <si>
    <t>GiacomozziFe</t>
  </si>
  <si>
    <t>BrockAd</t>
  </si>
  <si>
    <t>EislCh</t>
  </si>
  <si>
    <t>BenvegnuAn</t>
  </si>
  <si>
    <t>AbeltinoSi</t>
  </si>
  <si>
    <t>PirasAn</t>
  </si>
  <si>
    <t>FecchioFe</t>
  </si>
  <si>
    <t>TelesklavFa</t>
  </si>
  <si>
    <t>GrisentiLu</t>
  </si>
  <si>
    <t>WidmannFl</t>
  </si>
  <si>
    <t>VoicanCh</t>
  </si>
  <si>
    <t>MattheyPh</t>
  </si>
  <si>
    <t>LegaSi</t>
  </si>
  <si>
    <t>LesniakBo</t>
  </si>
  <si>
    <t>ArlicMa</t>
  </si>
  <si>
    <t>HesinaCh</t>
  </si>
  <si>
    <t>LehnerMo</t>
  </si>
  <si>
    <t>FormaioniTh</t>
  </si>
  <si>
    <t>SoraperraSi</t>
  </si>
  <si>
    <t>WuchererGe</t>
  </si>
  <si>
    <t>RivisAn</t>
  </si>
  <si>
    <t>RezekGr</t>
  </si>
  <si>
    <t>LegatKo</t>
  </si>
  <si>
    <t>SpiegelSe</t>
  </si>
  <si>
    <t>VignoloSi</t>
  </si>
  <si>
    <t>WendnerMa</t>
  </si>
  <si>
    <t>RiccoSt</t>
  </si>
  <si>
    <t>KummerSt</t>
  </si>
  <si>
    <t>KanyoTa</t>
  </si>
  <si>
    <t>EggerTh</t>
  </si>
  <si>
    <t>FajdigaAl</t>
  </si>
  <si>
    <t>MarkizetiGr</t>
  </si>
  <si>
    <t>JavornikBl</t>
  </si>
  <si>
    <t>MeixnerSe</t>
  </si>
  <si>
    <t>MoidlDa</t>
  </si>
  <si>
    <t>MilovanovicJa</t>
  </si>
  <si>
    <t>MurnikPe</t>
  </si>
  <si>
    <t>WuntschekDo</t>
  </si>
  <si>
    <t>RivisFe</t>
  </si>
  <si>
    <t>PötscherMi</t>
  </si>
  <si>
    <t>SchonaklenerPa</t>
  </si>
  <si>
    <t>PreiserJu</t>
  </si>
  <si>
    <t>SchweighoferMa</t>
  </si>
  <si>
    <t>DieberDo</t>
  </si>
  <si>
    <t>WenuschHe</t>
  </si>
  <si>
    <t>WiestAl</t>
  </si>
  <si>
    <t>ZacherlPa</t>
  </si>
  <si>
    <t>KlemmAn</t>
  </si>
  <si>
    <t>AngyalBo</t>
  </si>
  <si>
    <t>BassoNi</t>
  </si>
  <si>
    <t>MartinFl</t>
  </si>
  <si>
    <t>MantovaniDa</t>
  </si>
  <si>
    <t>MiklicGr</t>
  </si>
  <si>
    <t>HuberRe</t>
  </si>
  <si>
    <t>HolzerDa</t>
  </si>
  <si>
    <t>2023-09-16</t>
  </si>
  <si>
    <t>2023-09-19</t>
  </si>
  <si>
    <t>2023-09-23</t>
  </si>
  <si>
    <t>2023-09-30</t>
  </si>
  <si>
    <t>2023-09-22</t>
  </si>
  <si>
    <t>2023-10-05</t>
  </si>
  <si>
    <t>2023-10-07</t>
  </si>
  <si>
    <t>2023-09-21</t>
  </si>
  <si>
    <t>2023-10-26</t>
  </si>
  <si>
    <t>2023-09-24</t>
  </si>
  <si>
    <t>2023-09-28</t>
  </si>
  <si>
    <t>2023-10-01</t>
  </si>
  <si>
    <t>2023-09-29</t>
  </si>
  <si>
    <t>2023-10-21</t>
  </si>
  <si>
    <t>2023-10-06</t>
  </si>
  <si>
    <t>2023-10-17</t>
  </si>
  <si>
    <t>2023-11-25</t>
  </si>
  <si>
    <t>2023-12-09</t>
  </si>
  <si>
    <t>2024-01-03</t>
  </si>
  <si>
    <t>2023-12-19</t>
  </si>
  <si>
    <t>2023-10-14</t>
  </si>
  <si>
    <t>2023-10-19</t>
  </si>
  <si>
    <t>2023-09-27</t>
  </si>
  <si>
    <t>2023-10-15</t>
  </si>
  <si>
    <t>2023-11-24</t>
  </si>
  <si>
    <t>2023-09-26</t>
  </si>
  <si>
    <t>2023-11-01</t>
  </si>
  <si>
    <t>2023-10-12</t>
  </si>
  <si>
    <t>2023-11-04</t>
  </si>
  <si>
    <t>2023-11-16</t>
  </si>
  <si>
    <t>2023-10-24</t>
  </si>
  <si>
    <t>2023-10-28</t>
  </si>
  <si>
    <t>2023-11-30</t>
  </si>
  <si>
    <t>2023-12-07</t>
  </si>
  <si>
    <t>2024-01-25</t>
  </si>
  <si>
    <t>2023-11-23</t>
  </si>
  <si>
    <t>2023-11-18</t>
  </si>
  <si>
    <t>2023-12-26</t>
  </si>
  <si>
    <t>2023-10-08</t>
  </si>
  <si>
    <t>2023-11-15</t>
  </si>
  <si>
    <t>2024-02-01</t>
  </si>
  <si>
    <t>2023-11-03</t>
  </si>
  <si>
    <t>2023-11-28</t>
  </si>
  <si>
    <t>2023-12-02</t>
  </si>
  <si>
    <t>2023-11-29</t>
  </si>
  <si>
    <t>2023-11-05</t>
  </si>
  <si>
    <t>2023-11-21</t>
  </si>
  <si>
    <t>2023-11-19</t>
  </si>
  <si>
    <t>2024-02-22</t>
  </si>
  <si>
    <t>2023-12-28</t>
  </si>
  <si>
    <t>2023-12-30</t>
  </si>
  <si>
    <t>2024-01-05</t>
  </si>
  <si>
    <t>2023-11-14</t>
  </si>
  <si>
    <t>2024-02-24</t>
  </si>
  <si>
    <t>2023-12-01</t>
  </si>
  <si>
    <t>2023-12-21</t>
  </si>
  <si>
    <t>2024-01-27</t>
  </si>
  <si>
    <t>2024-02-15</t>
  </si>
  <si>
    <t>2023-11-17</t>
  </si>
  <si>
    <t>2024-01-13</t>
  </si>
  <si>
    <t>2023-11-26</t>
  </si>
  <si>
    <t>2024-02-29</t>
  </si>
  <si>
    <t>2023-12-05</t>
  </si>
  <si>
    <t>2024-01-18</t>
  </si>
  <si>
    <t>2024-02-17</t>
  </si>
  <si>
    <t>2023-12-03</t>
  </si>
  <si>
    <t>2023-12-23</t>
  </si>
  <si>
    <t>2024-01-20</t>
  </si>
  <si>
    <t>2023-12-06</t>
  </si>
  <si>
    <t>2024-03-05</t>
  </si>
  <si>
    <t>2024-02-13</t>
  </si>
  <si>
    <t>2024-03-07</t>
  </si>
  <si>
    <t>2024-02-03</t>
  </si>
  <si>
    <t>2024-02-12</t>
  </si>
  <si>
    <t>2024-03-14</t>
  </si>
  <si>
    <t>2024-02-08</t>
  </si>
  <si>
    <t>2024-03-21</t>
  </si>
  <si>
    <t>2024-01-02</t>
  </si>
  <si>
    <t>2024-02-20</t>
  </si>
  <si>
    <t>2024-03-26</t>
  </si>
  <si>
    <t>2024-01-17</t>
  </si>
  <si>
    <t>2024-02-02</t>
  </si>
  <si>
    <t>2024-01-11</t>
  </si>
  <si>
    <t>2024-03-30</t>
  </si>
  <si>
    <t>2024-03-09</t>
  </si>
  <si>
    <t>2024-02-27</t>
  </si>
  <si>
    <t>2024-01-31</t>
  </si>
  <si>
    <t>2024-04-06</t>
  </si>
  <si>
    <t>2024-02-14</t>
  </si>
  <si>
    <t>2024-03-12</t>
  </si>
  <si>
    <t>2024-03-02</t>
  </si>
  <si>
    <t>2024-02-10</t>
  </si>
  <si>
    <t>2024-04-11</t>
  </si>
  <si>
    <t>2024-01-10</t>
  </si>
  <si>
    <t>2024-03-16</t>
  </si>
  <si>
    <t>2024-03-19</t>
  </si>
  <si>
    <t>2024-03-23</t>
  </si>
  <si>
    <t>2024-02-18</t>
  </si>
  <si>
    <t>2024-03-28</t>
  </si>
  <si>
    <t>2024-04-02</t>
  </si>
  <si>
    <t>2024-04-04</t>
  </si>
  <si>
    <t>2024-04-09</t>
  </si>
  <si>
    <t>2024-04-13</t>
  </si>
  <si>
    <t>&lt;</t>
  </si>
  <si>
    <t>Eishalle Sterzing;GiacomozziFe;RivisFe;MattheyPh;VignoloSi</t>
  </si>
  <si>
    <t>Eisarena Salzburg;MoidlDa;RuetzMa;DieberDo;LegatKo</t>
  </si>
  <si>
    <t>Klagenfurter Stadthalle;BulovecMi;KainbergerJu;JeramFi;MarkizetiGr</t>
  </si>
  <si>
    <t>Eishalle Celje;BajtMi;VirtaTu;BergantAn;FecchioFe</t>
  </si>
  <si>
    <t>Eishalle Cortina;LegaSi;StefenelliFe;CusinFe;De zordoMa</t>
  </si>
  <si>
    <t>Klagenfurter Stadthalle;BrockAd;LesniakBo;DieberDo;SchonaklenerPa</t>
  </si>
  <si>
    <t>Eishalle Celje;LesniakBo;MilovanovicJa;JeramFi;KlemmAn</t>
  </si>
  <si>
    <t>Eishalle Ritten;PinieOm;RuetzMa;CristeliMa;CusinFe</t>
  </si>
  <si>
    <t>Eishalle Jesenice;BajtMi;LehnerMo;MattheyPh;TelesklavFa</t>
  </si>
  <si>
    <t>Eishalle Dornbirn;SoraperraSi;SpiegelSe;De zordoMa;JägerRi</t>
  </si>
  <si>
    <t>Eishalle Dornbirn;RuetzMa;StefenelliFe;FleischmannLu;JägerRi</t>
  </si>
  <si>
    <t>Sportpark Kitzbühel;KainbergerJu;LazzeriAl;BrondiPa;EislCh</t>
  </si>
  <si>
    <t>Eishalle Celje;BajtMi;LesniakBo;MurnikPe;TelesklavFa</t>
  </si>
  <si>
    <t>Eishalle Ritten;BenvegnuAn;RiccoSt;FecchioFe;GrisentiLu</t>
  </si>
  <si>
    <t>Eishalle Cortina;LazzeriAl;PinieOm;CristeliMa;De zordoMa</t>
  </si>
  <si>
    <t>Eishalle Canazei;LazzeriAl;RuetzMa;HesinaCh;RinkerDa</t>
  </si>
  <si>
    <t>Sportpark Kitzbühel;MoidlDa;RuetzMa;MattheyPh;ZacherlPa</t>
  </si>
  <si>
    <t>Klagenfurter Stadthalle;HlavatyAl;MeixnerSe;AngyalBo;PreiserJu</t>
  </si>
  <si>
    <t>Eishalle Celje;OrelSt;WidmannFl;MurnikPe;PötscherMi</t>
  </si>
  <si>
    <t>Eishalle Jesenice;MilovanovicJa;WuntschekDo;JavornikBl;WuchererGe</t>
  </si>
  <si>
    <t>Eishalle Dornbirn;RuetzMa;SpiegelSe;JägerRi;PreiserJu</t>
  </si>
  <si>
    <t>Eishalle Celje;BrockAd;KainbergerJu;BergantAn;SeewaldJe</t>
  </si>
  <si>
    <t>Eishalle Ritten;GiacomozziFe;VirtaTu;FecchioFe;PaceJa</t>
  </si>
  <si>
    <t>Eishalle Celje;FajdigaAl;WidmannFl;BergantAn;PötscherMi</t>
  </si>
  <si>
    <t>KELIT Arena Zell am See;BajtMi;OrelSt;ArlicMa;SeewaldJe</t>
  </si>
  <si>
    <t>Eishalle Jesenice;LesniakBo;SchweighoferMa;JeramFi;PötscherMi</t>
  </si>
  <si>
    <t>Eishalle Lustenau;MoschenAn;RuetzMa;AbeltinoSi;JägerRi</t>
  </si>
  <si>
    <t>Eishalle Jesenice;BulovecMi;OrelSt;MarkizetiGr;MurnikPe</t>
  </si>
  <si>
    <t>Eishalle Cortina;MoschenAn;PinieOm;De zordoMa;RivisAn</t>
  </si>
  <si>
    <t>Eishalle Dornbirn;HolzerTo;SchauerJa;EislCh;JägerRi</t>
  </si>
  <si>
    <t>Klagenfurter Stadthalle;KummerSt;WidmannFl;KlemmAn;TelesklavFa</t>
  </si>
  <si>
    <t>Eishalle Lustenau;LazzeriAl;StefenelliFe;CristeliMa;FormaioniTh</t>
  </si>
  <si>
    <t>Eishalle Lustenau;KummerSt;OrelSt;PuffWo;WuchererGe</t>
  </si>
  <si>
    <t>Eisarena Salzburg;BrockAd;WenuschHe;EislCh;PreiserJu</t>
  </si>
  <si>
    <t>Klagenfurter Stadthalle;BajtMi;KainbergerJu;ArlicMa;PötscherMi</t>
  </si>
  <si>
    <t>Eishalle Sterzing;HolzerTo;SpiegelSe;BrondiPa;De zordoMa</t>
  </si>
  <si>
    <t>Eishalle Lustenau;LazzeriAl;LegaSi;CusinFe;VignoloSi</t>
  </si>
  <si>
    <t>Eishalle Celje;LesniakBo;WenuschHe;LegatKo;MurnikPe</t>
  </si>
  <si>
    <t>Eishalle Dornbirn;GiacomozziFe;SchauerJa;FleischmannLu;JägerRi</t>
  </si>
  <si>
    <t>Sportpark Kitzbühel;KainbergerJu;LehnerMo;HesinaCh;MoidlMa</t>
  </si>
  <si>
    <t>Heidi Horten Arena Klagenfurt;BulovecMi;WidmannFl;MarkizetiGr;WendnerMa</t>
  </si>
  <si>
    <t>Linz AG Eisarena;LehnerMo;VoicanCh;MattheyPh;MoidlMa</t>
  </si>
  <si>
    <t>Eishalle Sterzing;MoschenAn;RuetzMa;HesinaCh;RinkerDa</t>
  </si>
  <si>
    <t>Eishalle Cortina;EggerTh;LazzeriAl;AbeltinoSi;De zordoMa</t>
  </si>
  <si>
    <t>Eishalle Jesenice;KummerSt;VoicanCh;KlemmAn;LegatKo</t>
  </si>
  <si>
    <t>Eishalle Dornbirn;HolzerTo;LegaSi;JägerRi;VignoloSi</t>
  </si>
  <si>
    <t>Klagenfurter Stadthalle;LesniakBo;MeixnerSe;BergantAn;JavornikBl</t>
  </si>
  <si>
    <t>Eishalle Jesenice;BulovecMi;WidmannFl;BergantAn;PuffWo</t>
  </si>
  <si>
    <t>Sportpark Kitzbühel;KainbergerJu;OrelSt;EislCh;PötscherMi</t>
  </si>
  <si>
    <t>Eishalle Jesenice;FajdigaAl;KummerSt;MurnikPe;TelesklavFa</t>
  </si>
  <si>
    <t>Eishalle Ritten;EggerTh;HolzerTo;PaceJa;RinkerDa</t>
  </si>
  <si>
    <t>Eishalle Ritten;RuetzMa;SchauerJa;FleischmannLu;SeewaldJe</t>
  </si>
  <si>
    <t>Eishalle Lustenau;HolzerTo;RuetzMa;JägerRi;SeewaldJe</t>
  </si>
  <si>
    <t>KELIT Arena Zell am See;HlavatyAl;VoicanCh;LegatKo;WeissAl</t>
  </si>
  <si>
    <t>Eishalle Celje;MilovanovicJa;PinieOm;BrondiPa;JavornikBl</t>
  </si>
  <si>
    <t>Eisarena Salzburg;KainbergerJu;OrelSt;SeewaldJe;TelesklavFa</t>
  </si>
  <si>
    <t>Eishalle Dornbirn;HolzerTo;RuetzMa;JägerRi;RinkerDa</t>
  </si>
  <si>
    <t>Eishalle Lustenau;OrelSt;SchauerJa;HesinaCh;MoidlMa</t>
  </si>
  <si>
    <t>Eishalle Ritten;BenvegnuAn;BrockAd;FleischmannLu;WendnerMa</t>
  </si>
  <si>
    <t>Eishalle Dornbirn;HolzerTo;SpiegelSe;JägerRi;RinkerDa</t>
  </si>
  <si>
    <t>Klagenfurter Stadthalle;BrockAd;HlavatyAl;KanyoTa;TelesklavFa</t>
  </si>
  <si>
    <t>Eishalle Celje;BulovecMi;LesniakBo;BergantAn;JavornikBl</t>
  </si>
  <si>
    <t>Eisarena Salzburg;KummerSt;WidmannFl;MattheyPh;PötscherMi</t>
  </si>
  <si>
    <t>Eishalle Jesenice;LesniakBo;OrelSt;BergantAn;WendnerMa</t>
  </si>
  <si>
    <t>Eishalle Dornbirn;KainbergerJu;SchauerJa;HesinaCh;JägerRi</t>
  </si>
  <si>
    <t>Eishalle Celje;FajdigaAl;VoicanCh;ArlicMa;WeissAl</t>
  </si>
  <si>
    <t>Eishalle Ritten;KummerSt;PinieOm;FecchioFe;PuffWo</t>
  </si>
  <si>
    <t>Eisarena Salzburg;HlavatyAl;HolzerTo;TelesklavFa;WeissAl</t>
  </si>
  <si>
    <t>KELIT Arena Zell am See;OrelSt;RuetzMa;SeewaldJe;WuchererGe</t>
  </si>
  <si>
    <t>Eisarena Salzburg;KainbergerJu;MeixnerSe;PötscherMi;WendnerMa</t>
  </si>
  <si>
    <t>Eishalle Cortina;PinieOm;RivisFe;De zordoMa;PaceJa</t>
  </si>
  <si>
    <t>Eishalle Dornbirn;SchauerJa;SpiegelSe;HesinaCh;RinkerDa</t>
  </si>
  <si>
    <t>Klagenfurter Stadthalle;FajdigaAl;WidmannFl;JavornikBl;TelesklavFa</t>
  </si>
  <si>
    <t>Eishalle Jesenice;HlavatyAl;VoicanCh;KanyoTa;PuffWo</t>
  </si>
  <si>
    <t>Eishalle Sterzing;GiacomozziFe;LazzeriAl;AbeltinoSi;CristeliMa</t>
  </si>
  <si>
    <t>Eishalle Ritten;MoschenAn;StefenelliFe;BrondiPa;FleischmannLu</t>
  </si>
  <si>
    <t>Eishalle Meran;PirasAn;SchauerJa;GrisentiLu;RinkerDa</t>
  </si>
  <si>
    <t>Würtharena Neumarkt;SpiegelSe;VirtaTu;De zordoMa;JägerRi</t>
  </si>
  <si>
    <t>Sportpark Kitzbühel;BajtMi;BulovecMi;BergantAn;JeramFi</t>
  </si>
  <si>
    <t>Würtharena Neumarkt;HolzerTo;VirtaTu;CristeliMa;PaceJa</t>
  </si>
  <si>
    <t>Sportpark Kitzbühel;HlavatyAl;VoicanCh;MoidlMa;WeissAl</t>
  </si>
  <si>
    <t>Eisarena Salzburg;KainbergerJu;LazzeriAl;De zordoMa;EislCh</t>
  </si>
  <si>
    <t>Eishalle Meran;LazzeriAl;OrelSt;CristeliMa;PuffWo</t>
  </si>
  <si>
    <t>Eishalle Ritten;KainbergerJu;SchauerJa;MoidlMa;WeissAl</t>
  </si>
  <si>
    <t>KELIT Arena Zell am See;BulovecMi;HlavatyAl;JeramFi;WeissAl</t>
  </si>
  <si>
    <t>Eisarena Salzburg;BajtMi;HlavatyAl;ArlicMa;EislCh</t>
  </si>
  <si>
    <t>Eisarena Salzburg;HlavatyAl;RezekGr;SeewaldJe;WeissAl</t>
  </si>
  <si>
    <t>Eishalle Ritten;BajtMi;BulovecMi;JeramFi;PuffWo</t>
  </si>
  <si>
    <t>Eisarena Salzburg;LazzeriAl;RezekGr;EislCh;MoidlMa</t>
  </si>
  <si>
    <t>Eishalle Ritten;BulovecMi;HolzerTo;De zordoMa;PuffWo</t>
  </si>
  <si>
    <t>Eishalle Sterzing;PinieOm;RezekGr;EislCh;SeewaldJe</t>
  </si>
  <si>
    <t>Eishalle Ritten;LazzeriAl;SchauerJa;De zordoMa;FleischmannLu</t>
  </si>
  <si>
    <t>Eishalle Ritten;BulovecMi;HolzerTo;SeewaldJe;WeissAl</t>
  </si>
  <si>
    <t>Eishalle Cortina;HlavatyAl;RezekGr;FleischmannLu;PuffWo</t>
  </si>
  <si>
    <t>Eishalle Ritten;LazzeriAl;SchauerJa;De zordoMa;MoidlMa</t>
  </si>
  <si>
    <t>Eishalle Cortina;BulovecMi;RezekGr;De zordoMa;FleischmannLu</t>
  </si>
  <si>
    <t>Eishalle Ritten;HlavatyAl;HolzerTo;PuffWo;SeewaldJe</t>
  </si>
  <si>
    <t>Eishalle Ritten;BenvegnuAn;RiccoSt;AbeltinoSi;De zordoMa</t>
  </si>
  <si>
    <t>Eishalle Canazei;LazzeriAl;SoraperraSi;De zordoMa;GrisentiLu</t>
  </si>
  <si>
    <t>Linz AG Eisarena;RuetzMa;VoicanCh;LegatKo;MattheyPh</t>
  </si>
  <si>
    <t>Eisarena Salzburg;RezekGr;VoicanCh;PreiserJu;WeissAl</t>
  </si>
  <si>
    <t>Eishalle Sterzing;BenvegnuAn;GiacomozziFe;PaceJa;VignoloSi</t>
  </si>
  <si>
    <t>Kitzbühel Sportpark;KummerSt;SchauerJa;EislCh;TelesklavFa</t>
  </si>
  <si>
    <t>Eishalle Jesenice;FajdigaAl;MoidlDa;ArlicMa;MoidlMa</t>
  </si>
  <si>
    <t>Klagenfurter Stadthalle;OrelSt;SchweighoferMa;JavornikBl;MarkizetiGr</t>
  </si>
  <si>
    <t>Würtharena Neumarkt;BenvegnuAn;LegaSi;GrisentiLu;VignoloSi</t>
  </si>
  <si>
    <t>Eishalle Jesenice;BulovecMi;KummerSt;TelesklavFa;WendnerMa</t>
  </si>
  <si>
    <t>Eishalle Celje;BajtMi;BulovecMi;KanyoTa;WendnerMa</t>
  </si>
  <si>
    <t>Eishalle Sterzing;HolzerTo;PinieOm;FleischmannLu;RinkerDa</t>
  </si>
  <si>
    <t>Eishalle Jesenice;LazzeriAl;MoschenAn;SchonaklenerPa;WendnerMa</t>
  </si>
  <si>
    <t>Sportpark Kitzbühel;KainbergerJu;WuntschekDo;HesinaCh;WuchererGe</t>
  </si>
  <si>
    <t>Eishalle Lustenau;BassoNi;LegaSi;FormaioniTh;VignoloSi</t>
  </si>
  <si>
    <t>Sportpark Kitzbühel;GiacomozziFe;HlavatyAl;De zordoMa;SeewaldJe</t>
  </si>
  <si>
    <t>Würtharena Neumarkt;FajdigaAl;LesniakBo;BrondiPa;PaceJa</t>
  </si>
  <si>
    <t>Sportpark Kitzbühel;PinieOm;RuetzMa;BrondiPa;HesinaCh</t>
  </si>
  <si>
    <t>Würtharena Neumarkt;BenvegnuAn;PinieOm;GrisentiLu;RivisAn</t>
  </si>
  <si>
    <t>Eishalle Jesenice;FajdigaAl;SchweighoferMa;BergantAn;TelesklavFa</t>
  </si>
  <si>
    <t>Eishalle Ritten;BenvegnuAn;EggerTh;RivisAn;WiestAl</t>
  </si>
  <si>
    <t>Eishalle Sterzing;LehnerMo;MoidlDa;MattheyPh;MoidlMa</t>
  </si>
  <si>
    <t>Sportpark Kitzbühel;KainbergerJu;RuetzMa;EislCh;RinkerDa</t>
  </si>
  <si>
    <t>Klagenfurter Stadthalle;LesniakBo;MilovanovicJa;JavornikBl;JeramFi</t>
  </si>
  <si>
    <t>Klagenfurter Stadthalle;SchweighoferMa;WuntschekDo;KlemmAn;MarkizetiGr</t>
  </si>
  <si>
    <t>Eishalle Sterzing;PinieOm;SpiegelSe;BrondiPa;HesinaCh</t>
  </si>
  <si>
    <t>Eishalle Sterzing;BajtMi;LazzeriAl;AbeltinoSi;MurnikPe</t>
  </si>
  <si>
    <t>Eishalle Ritten;KummerSt;PinieOm;FecchioFe;WuchererGe</t>
  </si>
  <si>
    <t>Klagenfurter Stadthalle;FajdigaAl;VoicanCh;DieberDo;MarkizetiGr</t>
  </si>
  <si>
    <t>Eishalle Sterzing;MoschenAn;StefenelliFe;FecchioFe;WeissAl</t>
  </si>
  <si>
    <t>Eishalle Jesenice;BulovecMi;OrelSt;ArlicMa;BergantAn</t>
  </si>
  <si>
    <t>Würtharena Neumarkt;LegaSi;StefenelliFe;BrondiPa;VignoloSi</t>
  </si>
  <si>
    <t>Linz AG Eisarena;RuetzMa;VoicanCh;LegatKo;WeissAl</t>
  </si>
  <si>
    <t>Klagenfurter Stadthalle;OrelSt;RezekGr;JavornikBl;TelesklavFa</t>
  </si>
  <si>
    <t>Eishalle Celje;BrockAd;WidmannFl;KanyoTa;WuchererGe</t>
  </si>
  <si>
    <t>Würtharena Neumarkt;MoschenAn;PirasAn;FormaioniTh;PaceJa</t>
  </si>
  <si>
    <t>Linz AG Eisarena;BrockAd;LehnerMo;DieberDo;WeissAl</t>
  </si>
  <si>
    <t>Eisarena Salzburg;HlavatyAl;KainbergerJu;EislCh;SeewaldJe</t>
  </si>
  <si>
    <t>Eishalle Lustenau;OrelSt;PinieOm;PuffWo;WuchererGe</t>
  </si>
  <si>
    <t>Eishalle Gröden;PinieOm;SchauerJa;RinkerDa;SeewaldJe</t>
  </si>
  <si>
    <t>Eishalle Meran;OrelSt;RezekGr;ArlicMa;PuffWo</t>
  </si>
  <si>
    <t>Eishalle Sterzing;HlavatyAl;VoicanCh;MoidlMa;WeissAl</t>
  </si>
  <si>
    <t>KELIT Arena Zell am See;BrockAd;BulovecMi;JeramFi;SeewaldJe</t>
  </si>
  <si>
    <t>Eishalle Dornbirn;BrockAd;PinieOm;CristeliMa;EislCh</t>
  </si>
  <si>
    <t>Eishalle Ritten;SchauerJa;VirtaTu;FleischmannLu;RinkerDa</t>
  </si>
  <si>
    <t>Eishalle Meran;BrockAd;BulovecMi;JeramFi;PuffWo</t>
  </si>
  <si>
    <t>Eishalle Cortina;BajtMi;BulovecMi;JeramFi;PuffWo</t>
  </si>
  <si>
    <t>Eishalle Sterzing;LazzeriAl;PinieOm;De zordoMa;EislCh</t>
  </si>
  <si>
    <t>Eishalle Cortina;HolzerTo;SchauerJa;FleischmannLu;MoidlMa</t>
  </si>
  <si>
    <t>Eishalle Sterzing;HlavatyAl;PinieOm;SeewaldJe;WeissAl</t>
  </si>
  <si>
    <t>Eishalle Cortina;BajtMi;SchauerJa;FleischmannLu;JeramFi</t>
  </si>
  <si>
    <t>Eisarena Salzburg;HlavatyAl;LazzeriAl;MoidlMa;WeissAl</t>
  </si>
  <si>
    <t>Würtharena Neumarkt;KainbergerJu;PirasAn;CusinFe;RivisAn</t>
  </si>
  <si>
    <t>Linz AG Eisarena;MeixnerSe;MoidlDa;MoidlMa;SchonaklenerPa</t>
  </si>
  <si>
    <t>Würtharena Neumarkt;KainbergerJu;PirasAn;WendnerMa;ZacherlPa</t>
  </si>
  <si>
    <t>Klagenfurter Stadthalle;HlavatyAl;SchweighoferMa;LegatKo;PreiserJu</t>
  </si>
  <si>
    <t>Eisarena Salzburg;HlavatyAl;VoicanCh;SchonaklenerPa;SeewaldJe</t>
  </si>
  <si>
    <t>Würtharena Neumarkt;HolzerTo;SpiegelSe;HesinaCh;RinkerDa</t>
  </si>
  <si>
    <t>Klagenfurter Stadthalle;FajdigaAl;LesniakBo;MarkizetiGr;WuchererGe</t>
  </si>
  <si>
    <t>Eishalle Zell am See;KainbergerJu;WidmannFl;HesinaCh;KanyoTa</t>
  </si>
  <si>
    <t>Eisarena Salzburg;KummerSt;SchweighoferMa;LegatKo;WeissAl</t>
  </si>
  <si>
    <t>Eisarena Salzburg;KainbergerJu;MoidlDa;MattheyPh;MoidlMa</t>
  </si>
  <si>
    <t>Sportpark Kitzbühel;HlavatyAl;OrelSt;LegatKo;SchonaklenerPa</t>
  </si>
  <si>
    <t>Eisarena Salzburg;SchauerJa;VoicanCh;MoidlMa;PreiserJu</t>
  </si>
  <si>
    <t>Eishalle Jesenice;BulovecMi;RezekGr;MarkizetiGr;PuffWo</t>
  </si>
  <si>
    <t>Würtharena Neumarkt;RivisFe;StefenelliFe;AbeltinoSi;RivisAn</t>
  </si>
  <si>
    <t>Linz AG Eisarena;MoidlDa;VoicanCh;DieberDo;WeissAl</t>
  </si>
  <si>
    <t>Eishalle Sterzing;PirasAn;VirtaTu;CristeliMa;FormaioniTh</t>
  </si>
  <si>
    <t>Eishalle Celje;BulovecMi;MilovanovicJa;JavornikBl;JeramFi</t>
  </si>
  <si>
    <t>Eisarena Salzburg;KummerSt;OrelSt;PuffWo;WuchererGe</t>
  </si>
  <si>
    <t>Eisarena Salzburg;HlavatyAl;MeixnerSe;KanyoTa;WeissAl</t>
  </si>
  <si>
    <t>Würtharena Neumarkt;SoraperraSi;VirtaTu;De zordoMa;PaceJa</t>
  </si>
  <si>
    <t>Eishalle Ritten;RivisFe;VirtaTu;EislCh;RinkerDa</t>
  </si>
  <si>
    <t>Eishalle Lustenau;HolzerTo;SpiegelSe;JägerRi;RinkerDa</t>
  </si>
  <si>
    <t>Eisarena Salzburg;MeixnerSe;WidmannFl;SeewaldJe;WendnerMa</t>
  </si>
  <si>
    <t>Eishalle Celje;BajtMi;BrockAd;JeramFi;KanyoTa</t>
  </si>
  <si>
    <t>Eishalle Jesenice;HlavatyAl;WuntschekDo;LegatKo;MarkizetiGr</t>
  </si>
  <si>
    <t>Eishalle Sterzing;LehnerMo;VirtaTu;De zordoMa;MoidlMa</t>
  </si>
  <si>
    <t>Linz AG Eisarena;BrockAd;SchweighoferMa;KanyoTa;WendnerMa</t>
  </si>
  <si>
    <t>Linz AG Eisarena;BajtMi;HlavatyAl;MurnikPe;PuffWo</t>
  </si>
  <si>
    <t>Linz AG Eisarena;VoicanCh;WidmannFl;MoidlMa;SeewaldJe</t>
  </si>
  <si>
    <t>Klagenfurter Stadthalle;BajtMi;MeixnerSe;JeramFi;KanyoTa</t>
  </si>
  <si>
    <t>Sportpark Kitzbühel;KainbergerJu;MoschenAn;PaceJa;SeewaldJe</t>
  </si>
  <si>
    <t>Eishalle Lustenau;BenvegnuAn;LazzeriAl;CristeliMa;FormaioniTh</t>
  </si>
  <si>
    <t>Eishalle Ritten;HolzerTo;StefenelliFe;BrondiPa;JägerRi</t>
  </si>
  <si>
    <t>Eisarena Salzburg;MoidlDa;SchauerJa;LegatKo;MattheyPh</t>
  </si>
  <si>
    <t>KELIT Arena Zell am See;HolzerTo;VoicanCh;JägerRi;WeissAl</t>
  </si>
  <si>
    <t>Eishalle Gröden;EggerTh;RuetzMa;BrondiPa;FleischmannLu</t>
  </si>
  <si>
    <t>Eishalle Ritten;BajtMi;SchauerJa;JeramFi;SeewaldJe</t>
  </si>
  <si>
    <t>Eishalle Dornbirn;HolzerTo;VirtaTu;EislCh;RinkerDa</t>
  </si>
  <si>
    <t>Eisarena Salzburg;HlavatyAl;VirtaTu;FleischmannLu;PuffWo</t>
  </si>
  <si>
    <t>Würtharena Neumarkt;HolzerTo;OrelSt;FleischmannLu;PuffWo</t>
  </si>
  <si>
    <t>Eishalle Ritten;HolzerTo;SchauerJa;De zordoMa;FleischmannLu</t>
  </si>
  <si>
    <t>Eishalle Jesenice;LesniakBo;MilovanovicJa;BergantAn;MarkizetiGr</t>
  </si>
  <si>
    <t>Eishalle Gröden;GiacomozziFe;LazzeriAl;AbeltinoSi;CristeliMa</t>
  </si>
  <si>
    <t>Eishalle Lustenau;MoschenAn;RiccoSt;EislCh;ZacherlPa</t>
  </si>
  <si>
    <t>Eishalle Canazei;LazzeriAl;RivisFe;De zordoMa;RivisAn</t>
  </si>
  <si>
    <t>Eisarena Salzburg;BrockAd;MeixnerSe;KanyoTa;ZacherlPa</t>
  </si>
  <si>
    <t>Eishalle Lustenau;LehnerMo;SchauerJa;MattheyPh;RinkerDa</t>
  </si>
  <si>
    <t>Klagenfurter Stadthalle;BulovecMi;WenuschHe;KanyoTa;LegatKo</t>
  </si>
  <si>
    <t>Linz AG Eisarena;BrockAd;VoicanCh;LegatKo;SchonaklenerPa</t>
  </si>
  <si>
    <t>Eishalle Ritten;PinieOm;StefenelliFe;CristeliMa;CusinFe</t>
  </si>
  <si>
    <t>Eishalle Gröden;BassoNi;EggerTh;De zordoMa;FormaioniTh</t>
  </si>
  <si>
    <t>Linz AG Eisarena;LehnerMo;WenuschHe;DieberDo;SchonaklenerPa</t>
  </si>
  <si>
    <t>Eishalle Ritten;BenvegnuAn;StefenelliFe;De zordoMa;FormaioniTh</t>
  </si>
  <si>
    <t>Linz AG Eisarena;HlavatyAl;WenuschHe;AngyalBo;DieberDo</t>
  </si>
  <si>
    <t>Eishalle Dornbirn;HolzerTo;SchauerJa;JägerRi;MartinFl</t>
  </si>
  <si>
    <t>Eishalle Celje;BrockAd;HlavatyAl;WeissAl;WendnerMa</t>
  </si>
  <si>
    <t>Klagenfurter Stadthalle;KummerSt;MilovanovicJa;MurnikPe;WendnerMa</t>
  </si>
  <si>
    <t>Eishalle Meran;LegaSi;RivisFe;RivisAn;WiestAl</t>
  </si>
  <si>
    <t>Eishalle Gröden;LegaSi;SoraperraSi;CusinFe;VignoloSi</t>
  </si>
  <si>
    <t>Eishalle Gröden;RuetzMa;StefenelliFe;HesinaCh;RinkerDa</t>
  </si>
  <si>
    <t>Linz AG Eisarena;BrockAd;OrelSt;AngyalBo;MattheyPh</t>
  </si>
  <si>
    <t>Eisarena Salzburg;HolzerTo;SpiegelSe;LegatKo;PreiserJu</t>
  </si>
  <si>
    <t>Würtharena Neumarkt;FajdigaAl;OrelSt;MurnikPe;PuffWo</t>
  </si>
  <si>
    <t>Eishalle Lustenau;SchauerJa;SpiegelSe;FecchioFe;JägerRi</t>
  </si>
  <si>
    <t>Linz AG Eisarena;HolzerDa;VoicanCh;LegatKo;WeissAl</t>
  </si>
  <si>
    <t>Würtharena Neumarkt;LazzeriAl;PirasAn;BrondiPa;PaceJa</t>
  </si>
  <si>
    <t>Eishalle Lustenau;MoschenAn;RuetzMa;GrisentiLu;HesinaCh</t>
  </si>
  <si>
    <t>Linz AG Eisarena;KainbergerJu;LehnerMo;EislCh;MattheyPh</t>
  </si>
  <si>
    <t>Eishalle Dornbirn;LegaSi;SchauerJa;RinkerDa;VignoloSi</t>
  </si>
  <si>
    <t>Eishalle Celje;BajtMi;WidmannFl;ArlicMa;PuffWo</t>
  </si>
  <si>
    <t>Eishalle Lustenau;HuberRe;SoraperraSi;FecchioFe;JägerRi</t>
  </si>
  <si>
    <t>KELIT Arena Zell am See;LazzeriAl;SchauerJa;BrondiPa;De zordoMa</t>
  </si>
  <si>
    <t>KELIT Arena Zell am See;HlavatyAl;WenuschHe;EislCh;MoidlMa</t>
  </si>
  <si>
    <t>Eishalle Sterzing;HolzerTo;SoraperraSi;FecchioFe;RinkerDa</t>
  </si>
  <si>
    <t>Eishalle Sterzing;MoschenAn;RuetzMa;De zordoMa;RinkerDa</t>
  </si>
  <si>
    <t>Eishalle Gröden;GiacomozziFe;RuetzMa;CristeliMa;FecchioFe</t>
  </si>
  <si>
    <t>Eishalle Lustenau;HolzerTo;RuetzMa;HesinaCh;RinkerDa</t>
  </si>
  <si>
    <t>Eishalle Ritten;BajtMi;RuetzMa;CusinFe;FecchioFe</t>
  </si>
  <si>
    <t>Eishalle Jesenice;BulovecMi;RezekGr;ArlicMa;BergantAn</t>
  </si>
  <si>
    <t>Eishalle Cortina;BulovecMi;RezekGr;BergantAn;CristeliMa</t>
  </si>
  <si>
    <t>Würtharena Neumarkt;PinieOm;RezekGr;ArlicMa;De zordoMa</t>
  </si>
  <si>
    <t>Eishalle Cortina;BajtMi;PinieOm;De zordoMa;JeramFi</t>
  </si>
  <si>
    <t>Eishalle Meran;KainbergerJu;SchauerJa;RinkerDa;SeewaldJe</t>
  </si>
  <si>
    <t>Eishalle Cortina;OrelSt;RezekGr;BergantAn;PuffWo</t>
  </si>
  <si>
    <t>Eishalle Dornbirn;KainbergerJu;PinieOm;FleischmannLu;MoidlMa</t>
  </si>
  <si>
    <t>Sportpark Kitzbühel;OrelSt;WenuschHe;MoidlMa;SchonaklenerPa</t>
  </si>
  <si>
    <t>Eishalle Lustenau;HolzerTo;PinieOm;HesinaCh;PaceJa</t>
  </si>
  <si>
    <t>Eishalle Sterzing;SpiegelSe;StefenelliFe;AbeltinoSi;CristeliMa</t>
  </si>
  <si>
    <t>Eishalle Meran;OrelSt;WidmannFl;GrisentiLu;WuchererGe</t>
  </si>
  <si>
    <t>Eishalle Gröden;HolzerTo;StefenelliFe;JägerRi;PaceJa</t>
  </si>
  <si>
    <t>Eishalle Sterzing;SoraperraSi;VirtaTu;CristeliMa;PaceJa</t>
  </si>
  <si>
    <t>Linz AG Eisarena;MeixnerSe;WuntschekDo;MoidlMa;PreiserJu</t>
  </si>
  <si>
    <t>Eishalle Lustenau;LehnerMo;PirasAn;MattheyPh;WiestAl</t>
  </si>
  <si>
    <t>Eishalle Meran;RiccoSt;VirtaTu;FecchioFe;RivisAn</t>
  </si>
  <si>
    <t>KELIT Arena Zell am See;BrockAd;RuetzMa;SeewaldJe;TelesklavFa</t>
  </si>
  <si>
    <t>Würtharena Neumarkt;BassoNi;MoidlDa;AbeltinoSi;SeewaldJe</t>
  </si>
  <si>
    <t>KELIT Arena Zell am See;LehnerMo;LesniakBo;ArlicMa;MattheyPh</t>
  </si>
  <si>
    <t>Eishalle Ritten;HolzerTo;SpiegelSe;BrondiPa;RinkerDa</t>
  </si>
  <si>
    <t>Eisarena Salzburg;MoschenAn;OrelSt;SeewaldJe;WiestAl</t>
  </si>
  <si>
    <t>Eishalle Zell am See;KainbergerJu;MeixnerSe;MoidlMa;WendnerMa</t>
  </si>
  <si>
    <t>Eishalle Canazei;BenvegnuAn;LazzeriAl;FecchioFe;GrisentiLu</t>
  </si>
  <si>
    <t>Eishalle Zell am See;SchauerJa;WidmannFl;MattheyPh;MoidlMa</t>
  </si>
  <si>
    <t>Eishalle Meran;SoraperraSi;VirtaTu;FecchioFe;MantovaniDa</t>
  </si>
  <si>
    <t>Eishalle Canazei;PinieOm;StefenelliFe;GrisentiLu;PaceJa</t>
  </si>
  <si>
    <t>Eishalle Meran;GiacomozziFe;RiccoSt;BrondiPa;FleischmannLu</t>
  </si>
  <si>
    <t>Eishalle Meran;GiacomozziFe;PinieOm;CusinFe;FormaioniTh</t>
  </si>
  <si>
    <t>Eishalle Dornbirn;RuetzMa;SchauerJa;JägerRi;RinkerDa</t>
  </si>
  <si>
    <t>Eishalle Ritten;RiccoSt;StefenelliFe;AbeltinoSi;GrisentiLu</t>
  </si>
  <si>
    <t>KELIT Arena Zell am See;KainbergerJu;OrelSt;PuffWo;WuchererGe</t>
  </si>
  <si>
    <t>Würtharena Neumarkt;LesniakBo;VirtaTu;BergantAn;De zordoMa</t>
  </si>
  <si>
    <t>KELIT Arena Zell am See;BulovecMi;WidmannFl;ArlicMa;PuffWo</t>
  </si>
  <si>
    <t>Sportpark Kitzbühel;BulovecMi;HolzerTo;BergantAn;SeewaldJe</t>
  </si>
  <si>
    <t>KELIT Arena Zell am See;MoschenAn;RuetzMa;De zordoMa;HesinaCh</t>
  </si>
  <si>
    <t>Eishalle Lustenau;HolzerTo;PirasAn;BrondiPa;JägerRi</t>
  </si>
  <si>
    <t>Würtharena Neumarkt;GiacomozziFe;RuetzMa;AbeltinoSi;FormaioniTh</t>
  </si>
  <si>
    <t>Eishalle Meran;EggerTh;GiacomozziFe;AbeltinoSi;FormaioniTh</t>
  </si>
  <si>
    <t>Eishalle Cortina;GiacomozziFe;VirtaTu;BrondiPa;RivisAn</t>
  </si>
  <si>
    <t>Eishalle Canazei;PirasAn;StefenelliFe;BrondiPa;GrisentiLu</t>
  </si>
  <si>
    <t>Eishalle Cortina;BenvegnuAn;RiccoSt;GrisentiLu;WiestAl</t>
  </si>
  <si>
    <t>Eishalle Zell am See;MoschenAn;WidmannFl;FleischmannLu;TelesklavFa</t>
  </si>
  <si>
    <t>Eishalle Celje;KummerSt;LesniakBo;JavornikBl;MurnikPe</t>
  </si>
  <si>
    <t>Eisarena Salzburg;BrockAd;VoicanCh;KanyoTa;WeissAl</t>
  </si>
  <si>
    <t>Eishalle Sterzing;LazzeriAl;OrelSt;ArlicMa;BergantAn</t>
  </si>
  <si>
    <t>Eishalle Zell am See;BrockAd;MeixnerSe;WendnerMa;ZacherlPa</t>
  </si>
  <si>
    <t>Eishalle Cortina;OrelSt;PirasAn;GrisentiLu;WuchererGe</t>
  </si>
  <si>
    <t>Eishalle Cortina;BajtMi;VirtaTu;BergantAn;FecchioFe</t>
  </si>
  <si>
    <t>Eishalle Cortina;EggerTh;PirasAn;AbeltinoSi;WiestAl</t>
  </si>
  <si>
    <t>Eishalle Meran;EggerTh;MoschenAn;AbeltinoSi;De zordoMa</t>
  </si>
  <si>
    <t>Eishalle Dornbirn;MoschenAn;SchauerJa;De zordoMa;SeewaldJe</t>
  </si>
  <si>
    <t>Eishalle Meran;RivisFe;VirtaTu;PaceJa;RivisAn</t>
  </si>
  <si>
    <t>Eishalle Dornbirn;LazzeriAl;MoschenAn;JägerRi;RinkerDa</t>
  </si>
  <si>
    <t>Eishalle Sterzing;PinieOm;VirtaTu;CristeliMa;RinkerDa</t>
  </si>
  <si>
    <t>Eishalle Meran;RuetzMa;WidmannFl;HesinaCh;TelesklavFa</t>
  </si>
  <si>
    <t>Eishalle Lustenau;HolzerTo;WuntschekDo;JägerRi;PötscherMi</t>
  </si>
  <si>
    <t>Eishalle Sterzing;RuetzMa;SchauerJa;De zordoMa;PaceJa</t>
  </si>
  <si>
    <t>Linz AG Eisarena;LehnerMo;MeixnerSe;KanyoTa;MoidlMa</t>
  </si>
  <si>
    <t>Eishalle Dornbirn;LazzeriAl;StefenelliFe;CristeliMa;FormaioniTh</t>
  </si>
  <si>
    <t>Würtharena Neumarkt;MoschenAn;VirtaTu;CristeliMa;CusinFe</t>
  </si>
  <si>
    <t>Eishalle Dornbirn;LazzeriAl;LegaSi;CusinFe;VignoloSi</t>
  </si>
  <si>
    <t>Eishalle Gröden;LazzeriAl;PirasAn;BrondiPa;FecchioFe</t>
  </si>
  <si>
    <t>KELIT Arena Zell am See;BajtMi;SchauerJa;ArlicMa;SeewaldJe</t>
  </si>
  <si>
    <t>Eishalle Canazei;RiccoSt;SoraperraSi;De zordoMa;PaceJa</t>
  </si>
  <si>
    <t>Eishalle Ritten;MoschenAn;PinieOm;BrondiPa;De zordoMa</t>
  </si>
  <si>
    <t>Eishalle Canazei;GiacomozziFe;MoschenAn;FormaioniTh;VignoloSi</t>
  </si>
  <si>
    <t>Eishalle Meran;RiccoSt;StefenelliFe;FecchioFe;WiestAl</t>
  </si>
  <si>
    <t>Sportpark Kitzbühel;LehnerMo;MoidlDa;EislCh;MoidlMa</t>
  </si>
  <si>
    <t>Eishalle Meran;LegaSi;RuetzMa;CusinFe;RinkerDa</t>
  </si>
  <si>
    <t>Würtharena Neumarkt;GiacomozziFe;RiccoSt;FormaioniTh;GrisentiLu</t>
  </si>
  <si>
    <t>Eishalle Meran;LegaSi;PinieOm;CusinFe;De zordoMa</t>
  </si>
  <si>
    <t>Eishalle Cortina;LesniakBo;VirtaTu;JavornikBl;PaceJa</t>
  </si>
  <si>
    <t>Eishalle Canazei;BajtMi;OrelSt;ArlicMa;WuchererGe</t>
  </si>
  <si>
    <t>Eishalle Cortina;BulovecMi;MilovanovicJa;AbeltinoSi;MurnikPe</t>
  </si>
  <si>
    <t>Eishalle Meran;LegaSi;SoraperraSi;De zordoMa;RivisAn</t>
  </si>
  <si>
    <t>Sportpark Kitzbühel;OrelSt;PinieOm;BrondiPa;CristeliMa</t>
  </si>
  <si>
    <t>Eishalle Canazei;BenvegnuAn;OrelSt;De zordoMa;PuffWo</t>
  </si>
  <si>
    <t>Eishalle Sterzing;KainbergerJu;MoschenAn;EislCh;SeewaldJe</t>
  </si>
  <si>
    <t>Eishalle Dornbirn;HolzerTo;LegaSi;MartinFl;PaceJa</t>
  </si>
  <si>
    <t>Eishalle Meran;BenvegnuAn;MoschenAn;BrondiPa;CusinFe</t>
  </si>
  <si>
    <t>Eishalle Gröden;PinieOm;RivisFe;BrondiPa;VignoloSi</t>
  </si>
  <si>
    <t>Eishalle Celje;BulovecMi;WuntschekDo;ArlicMa;BergantAn</t>
  </si>
  <si>
    <t>Eishalle Canazei;GiacomozziFe;PirasAn;CusinFe;RivisAn</t>
  </si>
  <si>
    <t>Eishalle Gröden;LazzeriAl;PirasAn;FleischmannLu;VignoloSi</t>
  </si>
  <si>
    <t>Eishalle Sterzing;RiccoSt;SpiegelSe;FleischmannLu;JägerRi</t>
  </si>
  <si>
    <t>Eishalle Canazei;EggerTh;RiccoSt;AbeltinoSi;FecchioFe</t>
  </si>
  <si>
    <t>Eishalle Cortina;PinieOm;PirasAn;FleischmannLu;GrisentiLu</t>
  </si>
  <si>
    <t>Würtharena Neumarkt;HolzerTo;LegaSi;CusinFe;JägerRi</t>
  </si>
  <si>
    <t>Eishalle Gröden;SoraperraSi;WuntschekDo;BrondiPa;WuchererGe</t>
  </si>
  <si>
    <t>Eishalle Gröden;BenvegnuAn;SoraperraSi;CristeliMa;CusinFe</t>
  </si>
  <si>
    <t>Eishalle Cortina;PirasAn;RiccoSt;CristeliMa;FecchioFe</t>
  </si>
  <si>
    <t>Eishalle Ritten;EggerTh;PirasAn;AbeltinoSi;GrisentiLu</t>
  </si>
  <si>
    <t>Eishalle Cortina;MilovanovicJa;StefenelliFe;CusinFe;JeramFi</t>
  </si>
  <si>
    <t>Eishalle Gröden;BenvegnuAn;PirasAn;BrondiPa;CristeliMa</t>
  </si>
  <si>
    <t>Linz AG Eisarena;MoidlDa;OrelSt;PötscherMi;PuffWo</t>
  </si>
  <si>
    <t>Eishalle Meran;LegaSi;RivisFe;RivisAn;VignoloSi</t>
  </si>
  <si>
    <t>Eishalle Gröden;EggerTh;VirtaTu;CristeliMa;FecchioFe</t>
  </si>
  <si>
    <t>Sportpark Kitzbühel;LazzeriAl;LehnerMo;FleischmannLu;MattheyPh</t>
  </si>
  <si>
    <t>Eishalle Cortina;SoraperraSi;WuntschekDo;CristeliMa;TelesklavFa</t>
  </si>
  <si>
    <t>Eishalle Cortina;KummerSt;StefenelliFe;CristeliMa;WuchererGe</t>
  </si>
  <si>
    <t>Eishalle Cortina;LazzeriAl;SchauerJa;CristeliMa;JägerRi</t>
  </si>
  <si>
    <t>Eishalle Gröden;EggerTh;PirasAn;PaceJa;RivisAn</t>
  </si>
  <si>
    <t>Eishalle Canazei;FajdigaAl;GiacomozziFe;JeramFi;RivisAn</t>
  </si>
  <si>
    <t>Eishalle Gröden;BulovecMi;RezekGr;MarkizetiGr;TelesklavFa</t>
  </si>
  <si>
    <t>Eishalle Gröden;LegaSi;SoraperraSi;CusinFe;RivisAn</t>
  </si>
  <si>
    <t>Sportpark Kitzbühel;BulovecMi;RezekGr;BergantAn;JeramFi</t>
  </si>
  <si>
    <t>Eishalle Dornbirn;HolzerTo;LehnerMo;LegatKo;WendnerMa</t>
  </si>
  <si>
    <t>Eishalle Jesenice;MilovanovicJa;SchweighoferMa;JeramFi;WuchererGe</t>
  </si>
  <si>
    <t>Eishalle Gröden;GiacomozziFe;SoraperraSi;BrondiPa;VignoloSi</t>
  </si>
  <si>
    <t>Eishalle Meran;RiccoSt;StefenelliFe;AbeltinoSi;BrondiPa</t>
  </si>
  <si>
    <t>Eishalle Cortina;EggerTh;FajdigaAl;CristeliMa;JavornikBl</t>
  </si>
  <si>
    <t>Eishalle Canazei;BajtMi;BulovecMi;CristeliMa;CusinFe</t>
  </si>
  <si>
    <t>Eishalle Canazei;GiacomozziFe;LazzeriAl;GrisentiLu;PaceJa</t>
  </si>
  <si>
    <t>Linz AG Eisarena;LehnerMo;WuntschekDo;KanyoTa;TelesklavFa</t>
  </si>
  <si>
    <t>Eishalle Canazei;MoschenAn;RivisFe;CristeliMa;FormaioniTh</t>
  </si>
  <si>
    <t>KELIT Arena Zell am See;BulovecMi;WidmannFl;JeramFi;MiklicGr</t>
  </si>
  <si>
    <t>Eishalle Cortina;BenvegnuAn;GiacomozziFe;CristeliMa;FormaioniTh</t>
  </si>
  <si>
    <t>Eishalle Meran;BenvegnuAn;SoraperraSi;CusinFe;De zordoMa</t>
  </si>
  <si>
    <t>Eishalle Canazei;LegaSi;SoraperraSi;CristeliMa;CusinFe</t>
  </si>
  <si>
    <t>Eishalle Canazei;GiacomozziFe;PirasAn;FormaioniTh;RivisAn</t>
  </si>
  <si>
    <t>Eishalle Gröden;BenvegnuAn;MoschenAn;CusinFe;GrisentiLu</t>
  </si>
  <si>
    <t>Eishalle Canazei;BenvegnuAn;StefenelliFe;AbeltinoSi;FleischmannLu</t>
  </si>
  <si>
    <t>Eishalle Dornbirn;KainbergerJu;LazzeriAl;AbeltinoSi;GrisentiLu</t>
  </si>
  <si>
    <t>Sportpark Kitzbühel;HolzerTo;SpiegelSe;MattheyPh;MoidlMa</t>
  </si>
  <si>
    <t>Eishalle Zell am See;BajtMi;RuetzMa;ArlicMa;BergantAn</t>
  </si>
  <si>
    <t>KELIT Arena Zell am See;BrockAd;WidmannFl;SeewaldJe;TelesklavFa</t>
  </si>
  <si>
    <t>Eishalle Celje;MilovanovicJa;WuntschekDo;JeramFi;MarkizetiGr</t>
  </si>
  <si>
    <t>Eishalle Dornbirn;BenvegnuAn;SpiegelSe;FormaioniTh;JägerRi</t>
  </si>
  <si>
    <t>Sportpark Kitzbühel;LesniakBo;RezekGr;BergantAn;JeramFi</t>
  </si>
  <si>
    <t>Eisarena Salzburg;BrockAd;OrelSt;DieberDo;MattheyPh</t>
  </si>
  <si>
    <t>KELIT Arena Zell am See;HlavatyAl;LehnerMo;EislCh;SeewaldJe</t>
  </si>
  <si>
    <t>vse delegirane tekme</t>
  </si>
  <si>
    <t>vse delegacije</t>
  </si>
  <si>
    <t>slo</t>
  </si>
  <si>
    <t>it</t>
  </si>
  <si>
    <t>au</t>
  </si>
  <si>
    <t>kotrola</t>
  </si>
  <si>
    <t>sl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</si>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</sst>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4" borderId="11" xfId="0" applyNumberFormat="1" applyFill="1" applyBorder="1"/>
    <xf numFmtId="1" fontId="2" fillId="3" borderId="11" xfId="0" applyNumberFormat="1" applyFont="1" applyFill="1" applyBorder="1"/>
    <xf numFmtId="2" fontId="0" fillId="0" borderId="0" xfId="0" applyNumberFormat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10" fontId="0" fillId="5" borderId="13" xfId="0" applyNumberFormat="1" applyFill="1" applyBorder="1"/>
    <xf numFmtId="0" fontId="0" fillId="0" borderId="11" xfId="0" applyBorder="1"/>
    <xf numFmtId="0" fontId="0" fillId="0" borderId="11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4" xfId="0" applyNumberFormat="1" applyBorder="1"/>
    <xf numFmtId="1" fontId="1" fillId="2" borderId="1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73"/>
  <sheetViews>
    <sheetView topLeftCell="BH1" zoomScaleNormal="100" workbookViewId="0">
      <selection activeCell="CE2" sqref="CE2"/>
    </sheetView>
  </sheetViews>
  <sheetFormatPr defaultRowHeight="14.45" customHeight="1" x14ac:dyDescent="0.25"/>
  <cols>
    <col min="1" max="1" width="10" customWidth="1"/>
    <col min="2" max="2" width="11.5703125" customWidth="1"/>
    <col min="3" max="3" width="10.140625" customWidth="1"/>
    <col min="4" max="4" width="11.5703125" customWidth="1"/>
    <col min="5" max="5" width="14" customWidth="1"/>
    <col min="6" max="6" width="12.85546875" customWidth="1"/>
    <col min="7" max="7" width="13.28515625" customWidth="1"/>
    <col min="8" max="8" width="13.140625" customWidth="1"/>
    <col min="9" max="9" width="11" customWidth="1"/>
    <col min="10" max="10" width="11.140625" customWidth="1"/>
    <col min="13" max="13" width="10.5703125" customWidth="1"/>
    <col min="14" max="14" width="12.140625" customWidth="1"/>
    <col min="15" max="15" width="14.140625" customWidth="1"/>
    <col min="16" max="16" width="13" customWidth="1"/>
    <col min="17" max="17" width="12.5703125" customWidth="1"/>
    <col min="18" max="18" width="11.140625" customWidth="1"/>
    <col min="19" max="19" width="13.28515625" customWidth="1"/>
    <col min="20" max="20" width="10.7109375" customWidth="1"/>
    <col min="21" max="21" width="14.140625" customWidth="1"/>
    <col min="22" max="22" width="16.85546875" customWidth="1"/>
    <col min="23" max="23" width="11.7109375" customWidth="1"/>
    <col min="24" max="24" width="10.7109375" customWidth="1"/>
    <col min="25" max="25" width="11.85546875" customWidth="1"/>
    <col min="26" max="26" width="17.28515625" customWidth="1"/>
    <col min="27" max="27" width="11.7109375" customWidth="1"/>
    <col min="28" max="28" width="10.28515625" customWidth="1"/>
    <col min="29" max="29" width="14.5703125" customWidth="1"/>
    <col min="30" max="30" width="10.42578125" customWidth="1"/>
    <col min="31" max="31" width="11.28515625" customWidth="1"/>
    <col min="32" max="32" width="12" customWidth="1"/>
    <col min="33" max="33" width="15.140625" customWidth="1"/>
    <col min="34" max="34" width="11.42578125" customWidth="1"/>
    <col min="35" max="35" width="13.28515625" customWidth="1"/>
    <col min="36" max="36" width="10.5703125" customWidth="1"/>
    <col min="37" max="37" width="10.28515625" customWidth="1"/>
    <col min="38" max="38" width="13.5703125" customWidth="1"/>
    <col min="39" max="39" width="10.85546875" customWidth="1"/>
    <col min="40" max="40" width="12.7109375" customWidth="1"/>
    <col min="41" max="41" width="10.42578125" customWidth="1"/>
    <col min="42" max="42" width="13.42578125" customWidth="1"/>
    <col min="43" max="43" width="10.28515625" customWidth="1"/>
    <col min="44" max="44" width="12.42578125" customWidth="1"/>
    <col min="45" max="45" width="11.28515625" customWidth="1"/>
    <col min="46" max="46" width="12.5703125" customWidth="1"/>
    <col min="47" max="47" width="11.42578125" customWidth="1"/>
    <col min="48" max="48" width="11.7109375" customWidth="1"/>
    <col min="49" max="49" width="14.42578125" customWidth="1"/>
    <col min="50" max="50" width="12.5703125" customWidth="1"/>
    <col min="51" max="51" width="11.85546875" customWidth="1"/>
    <col min="52" max="52" width="11.42578125" customWidth="1"/>
    <col min="53" max="53" width="11.28515625" customWidth="1"/>
    <col min="54" max="54" width="11.140625" customWidth="1"/>
    <col min="55" max="55" width="11" customWidth="1"/>
    <col min="56" max="56" width="13.28515625" customWidth="1"/>
    <col min="57" max="57" width="18.140625" customWidth="1"/>
    <col min="58" max="58" width="10.7109375" customWidth="1"/>
    <col min="59" max="59" width="10.140625" customWidth="1"/>
    <col min="60" max="60" width="11.7109375" customWidth="1"/>
    <col min="61" max="61" width="14.28515625" customWidth="1"/>
    <col min="62" max="62" width="10.28515625" customWidth="1"/>
    <col min="63" max="63" width="11.7109375" customWidth="1"/>
    <col min="64" max="64" width="11.42578125" customWidth="1"/>
    <col min="65" max="65" width="14.140625" customWidth="1"/>
    <col min="66" max="66" width="18.140625" customWidth="1"/>
    <col min="67" max="67" width="10.140625" customWidth="1"/>
    <col min="68" max="68" width="11.85546875" customWidth="1"/>
    <col min="70" max="70" width="14.5703125" customWidth="1"/>
    <col min="72" max="72" width="15.5703125" customWidth="1"/>
    <col min="74" max="74" width="12.5703125" customWidth="1"/>
    <col min="84" max="84" width="13.5703125" customWidth="1"/>
  </cols>
  <sheetData>
    <row r="1" spans="1:82" ht="14.45" customHeight="1" x14ac:dyDescent="0.25">
      <c r="A1">
        <f t="shared" ref="A1:AF1" si="0">COUNTIF(A4:A50,"&lt;&gt;")</f>
        <v>38</v>
      </c>
      <c r="B1">
        <f t="shared" si="0"/>
        <v>35</v>
      </c>
      <c r="C1">
        <f t="shared" si="0"/>
        <v>33</v>
      </c>
      <c r="D1">
        <f t="shared" si="0"/>
        <v>33</v>
      </c>
      <c r="E1">
        <f t="shared" si="0"/>
        <v>32</v>
      </c>
      <c r="F1">
        <f t="shared" si="0"/>
        <v>31</v>
      </c>
      <c r="G1">
        <f t="shared" si="0"/>
        <v>31</v>
      </c>
      <c r="H1">
        <f t="shared" si="0"/>
        <v>30</v>
      </c>
      <c r="I1">
        <f t="shared" si="0"/>
        <v>30</v>
      </c>
      <c r="J1">
        <f t="shared" si="0"/>
        <v>30</v>
      </c>
      <c r="K1">
        <f t="shared" si="0"/>
        <v>28</v>
      </c>
      <c r="L1">
        <f t="shared" si="0"/>
        <v>27</v>
      </c>
      <c r="M1">
        <f t="shared" si="0"/>
        <v>27</v>
      </c>
      <c r="N1">
        <f t="shared" si="0"/>
        <v>26</v>
      </c>
      <c r="O1">
        <f t="shared" si="0"/>
        <v>27</v>
      </c>
      <c r="P1">
        <f t="shared" si="0"/>
        <v>26</v>
      </c>
      <c r="Q1">
        <f t="shared" si="0"/>
        <v>24</v>
      </c>
      <c r="R1">
        <f t="shared" si="0"/>
        <v>24</v>
      </c>
      <c r="S1">
        <f t="shared" si="0"/>
        <v>24</v>
      </c>
      <c r="T1">
        <f t="shared" si="0"/>
        <v>24</v>
      </c>
      <c r="U1">
        <f t="shared" si="0"/>
        <v>23</v>
      </c>
      <c r="V1">
        <f t="shared" si="0"/>
        <v>23</v>
      </c>
      <c r="W1">
        <f t="shared" si="0"/>
        <v>22</v>
      </c>
      <c r="X1">
        <f t="shared" si="0"/>
        <v>22</v>
      </c>
      <c r="Y1">
        <f t="shared" si="0"/>
        <v>22</v>
      </c>
      <c r="Z1">
        <f t="shared" si="0"/>
        <v>22</v>
      </c>
      <c r="AA1">
        <f t="shared" si="0"/>
        <v>21</v>
      </c>
      <c r="AB1">
        <f t="shared" si="0"/>
        <v>21</v>
      </c>
      <c r="AC1">
        <f t="shared" si="0"/>
        <v>21</v>
      </c>
      <c r="AD1">
        <f t="shared" si="0"/>
        <v>21</v>
      </c>
      <c r="AE1">
        <f t="shared" si="0"/>
        <v>20</v>
      </c>
      <c r="AF1">
        <f t="shared" si="0"/>
        <v>20</v>
      </c>
      <c r="AG1">
        <f t="shared" ref="AG1:BL1" si="1">COUNTIF(AG4:AG50,"&lt;&gt;")</f>
        <v>20</v>
      </c>
      <c r="AH1">
        <f t="shared" si="1"/>
        <v>20</v>
      </c>
      <c r="AI1">
        <f t="shared" si="1"/>
        <v>20</v>
      </c>
      <c r="AJ1">
        <f t="shared" si="1"/>
        <v>19</v>
      </c>
      <c r="AK1">
        <f t="shared" si="1"/>
        <v>19</v>
      </c>
      <c r="AL1">
        <f t="shared" si="1"/>
        <v>19</v>
      </c>
      <c r="AM1">
        <f t="shared" si="1"/>
        <v>18</v>
      </c>
      <c r="AN1">
        <f t="shared" si="1"/>
        <v>18</v>
      </c>
      <c r="AO1">
        <f t="shared" si="1"/>
        <v>17</v>
      </c>
      <c r="AP1">
        <f t="shared" si="1"/>
        <v>17</v>
      </c>
      <c r="AQ1">
        <f t="shared" si="1"/>
        <v>17</v>
      </c>
      <c r="AR1">
        <f t="shared" si="1"/>
        <v>17</v>
      </c>
      <c r="AS1">
        <f t="shared" si="1"/>
        <v>17</v>
      </c>
      <c r="AT1">
        <f t="shared" si="1"/>
        <v>17</v>
      </c>
      <c r="AU1">
        <f t="shared" si="1"/>
        <v>17</v>
      </c>
      <c r="AV1">
        <f t="shared" si="1"/>
        <v>17</v>
      </c>
      <c r="AW1">
        <f t="shared" si="1"/>
        <v>16</v>
      </c>
      <c r="AX1">
        <f t="shared" si="1"/>
        <v>16</v>
      </c>
      <c r="AY1">
        <f t="shared" si="1"/>
        <v>16</v>
      </c>
      <c r="AZ1">
        <f t="shared" si="1"/>
        <v>15</v>
      </c>
      <c r="BA1">
        <f t="shared" si="1"/>
        <v>15</v>
      </c>
      <c r="BB1">
        <f t="shared" si="1"/>
        <v>14</v>
      </c>
      <c r="BC1">
        <f t="shared" si="1"/>
        <v>14</v>
      </c>
      <c r="BD1">
        <f t="shared" si="1"/>
        <v>14</v>
      </c>
      <c r="BE1">
        <f t="shared" si="1"/>
        <v>13</v>
      </c>
      <c r="BF1">
        <f t="shared" si="1"/>
        <v>12</v>
      </c>
      <c r="BG1">
        <f t="shared" si="1"/>
        <v>12</v>
      </c>
      <c r="BH1">
        <f t="shared" si="1"/>
        <v>12</v>
      </c>
      <c r="BI1">
        <f t="shared" si="1"/>
        <v>12</v>
      </c>
      <c r="BJ1">
        <f t="shared" si="1"/>
        <v>11</v>
      </c>
      <c r="BK1">
        <f t="shared" si="1"/>
        <v>11</v>
      </c>
      <c r="BL1">
        <f t="shared" si="1"/>
        <v>11</v>
      </c>
      <c r="BM1">
        <f t="shared" ref="BM1:CD1" si="2">COUNTIF(BM4:BM50,"&lt;&gt;")</f>
        <v>11</v>
      </c>
      <c r="BN1">
        <f t="shared" si="2"/>
        <v>10</v>
      </c>
      <c r="BO1">
        <f t="shared" si="2"/>
        <v>9</v>
      </c>
      <c r="BP1">
        <f t="shared" si="2"/>
        <v>8</v>
      </c>
      <c r="BQ1">
        <f t="shared" si="2"/>
        <v>8</v>
      </c>
      <c r="BR1">
        <f t="shared" si="2"/>
        <v>8</v>
      </c>
      <c r="BS1">
        <f t="shared" si="2"/>
        <v>8</v>
      </c>
      <c r="BT1">
        <f t="shared" si="2"/>
        <v>7</v>
      </c>
      <c r="BU1">
        <f t="shared" si="2"/>
        <v>7</v>
      </c>
      <c r="BV1">
        <f t="shared" si="2"/>
        <v>5</v>
      </c>
      <c r="BW1">
        <f t="shared" si="2"/>
        <v>4</v>
      </c>
      <c r="BX1">
        <f t="shared" si="2"/>
        <v>3</v>
      </c>
      <c r="BY1">
        <f t="shared" si="2"/>
        <v>3</v>
      </c>
      <c r="BZ1">
        <f t="shared" si="2"/>
        <v>2</v>
      </c>
      <c r="CA1">
        <f t="shared" si="2"/>
        <v>1</v>
      </c>
      <c r="CB1">
        <f t="shared" si="2"/>
        <v>1</v>
      </c>
      <c r="CC1">
        <f t="shared" si="2"/>
        <v>1</v>
      </c>
      <c r="CD1">
        <f t="shared" si="2"/>
        <v>1</v>
      </c>
    </row>
    <row r="2" spans="1:82" ht="14.45" customHeight="1" x14ac:dyDescent="0.25">
      <c r="A2" t="s">
        <v>547</v>
      </c>
      <c r="B2" t="s">
        <v>548</v>
      </c>
      <c r="C2" t="s">
        <v>548</v>
      </c>
      <c r="D2" t="s">
        <v>547</v>
      </c>
      <c r="E2" t="s">
        <v>548</v>
      </c>
      <c r="F2" t="s">
        <v>547</v>
      </c>
      <c r="G2" t="s">
        <v>548</v>
      </c>
      <c r="H2" t="s">
        <v>550</v>
      </c>
      <c r="I2" t="s">
        <v>547</v>
      </c>
      <c r="J2" t="s">
        <v>548</v>
      </c>
      <c r="K2" t="s">
        <v>548</v>
      </c>
      <c r="L2" t="s">
        <v>548</v>
      </c>
      <c r="M2" t="s">
        <v>548</v>
      </c>
      <c r="N2" t="s">
        <v>547</v>
      </c>
      <c r="O2" t="s">
        <v>548</v>
      </c>
      <c r="P2" t="s">
        <v>548</v>
      </c>
      <c r="Q2" t="s">
        <v>550</v>
      </c>
      <c r="R2" t="s">
        <v>547</v>
      </c>
      <c r="S2" t="s">
        <v>547</v>
      </c>
      <c r="T2" t="s">
        <v>548</v>
      </c>
      <c r="U2" t="s">
        <v>550</v>
      </c>
      <c r="V2" t="s">
        <v>548</v>
      </c>
      <c r="W2" t="s">
        <v>550</v>
      </c>
      <c r="X2" t="s">
        <v>547</v>
      </c>
      <c r="Y2" t="s">
        <v>547</v>
      </c>
      <c r="Z2" t="s">
        <v>547</v>
      </c>
      <c r="AA2" t="s">
        <v>547</v>
      </c>
      <c r="AB2" t="s">
        <v>547</v>
      </c>
      <c r="AC2" t="s">
        <v>548</v>
      </c>
      <c r="AD2" t="s">
        <v>548</v>
      </c>
      <c r="AE2" t="s">
        <v>547</v>
      </c>
      <c r="AF2" t="s">
        <v>547</v>
      </c>
      <c r="AG2" t="s">
        <v>547</v>
      </c>
      <c r="AH2" t="s">
        <v>547</v>
      </c>
      <c r="AI2" t="s">
        <v>548</v>
      </c>
      <c r="AJ2" t="s">
        <v>547</v>
      </c>
      <c r="AK2" t="s">
        <v>548</v>
      </c>
      <c r="AL2" t="s">
        <v>548</v>
      </c>
      <c r="AM2" t="s">
        <v>548</v>
      </c>
      <c r="AN2" t="s">
        <v>547</v>
      </c>
      <c r="AO2" t="s">
        <v>550</v>
      </c>
      <c r="AP2" t="s">
        <v>550</v>
      </c>
      <c r="AQ2" t="s">
        <v>548</v>
      </c>
      <c r="AR2" t="s">
        <v>548</v>
      </c>
      <c r="AS2" t="s">
        <v>547</v>
      </c>
      <c r="AT2" t="s">
        <v>547</v>
      </c>
      <c r="AU2" t="s">
        <v>548</v>
      </c>
      <c r="AV2" t="s">
        <v>547</v>
      </c>
      <c r="AW2" t="s">
        <v>550</v>
      </c>
      <c r="AX2" t="s">
        <v>548</v>
      </c>
      <c r="AY2" t="s">
        <v>548</v>
      </c>
      <c r="AZ2" t="s">
        <v>547</v>
      </c>
      <c r="BA2" t="s">
        <v>548</v>
      </c>
      <c r="BB2" t="s">
        <v>547</v>
      </c>
      <c r="BC2" t="s">
        <v>548</v>
      </c>
      <c r="BD2" t="s">
        <v>548</v>
      </c>
      <c r="BE2" t="s">
        <v>547</v>
      </c>
      <c r="BF2" t="s">
        <v>550</v>
      </c>
      <c r="BG2" t="s">
        <v>550</v>
      </c>
      <c r="BH2" t="s">
        <v>550</v>
      </c>
      <c r="BI2" t="s">
        <v>548</v>
      </c>
      <c r="BJ2" t="s">
        <v>548</v>
      </c>
      <c r="BK2" t="s">
        <v>550</v>
      </c>
      <c r="BL2" t="s">
        <v>550</v>
      </c>
      <c r="BM2" t="s">
        <v>548</v>
      </c>
      <c r="BN2" t="s">
        <v>547</v>
      </c>
      <c r="BO2" t="s">
        <v>548</v>
      </c>
      <c r="BP2" t="s">
        <v>548</v>
      </c>
      <c r="BQ2" t="s">
        <v>548</v>
      </c>
      <c r="BR2" t="s">
        <v>548</v>
      </c>
      <c r="BS2" t="s">
        <v>548</v>
      </c>
      <c r="BT2" t="s">
        <v>548</v>
      </c>
      <c r="BU2" t="s">
        <v>548</v>
      </c>
      <c r="BV2" t="s">
        <v>548</v>
      </c>
      <c r="BW2" t="s">
        <v>548</v>
      </c>
      <c r="BX2" t="s">
        <v>547</v>
      </c>
      <c r="BY2" t="s">
        <v>547</v>
      </c>
      <c r="BZ2" t="s">
        <v>548</v>
      </c>
      <c r="CA2" t="s">
        <v>547</v>
      </c>
      <c r="CB2" t="s">
        <v>550</v>
      </c>
      <c r="CC2" t="s">
        <v>548</v>
      </c>
      <c r="CD2" t="s">
        <v>548</v>
      </c>
    </row>
    <row r="3" spans="1:82" ht="15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</row>
    <row r="4" spans="1:82" ht="15" customHeight="1" x14ac:dyDescent="0.25">
      <c r="A4" t="s">
        <v>82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85</v>
      </c>
      <c r="H4" t="s">
        <v>86</v>
      </c>
      <c r="I4" t="s">
        <v>84</v>
      </c>
      <c r="J4" t="s">
        <v>87</v>
      </c>
      <c r="K4" t="s">
        <v>85</v>
      </c>
      <c r="L4" t="s">
        <v>85</v>
      </c>
      <c r="M4" t="s">
        <v>88</v>
      </c>
      <c r="N4" t="s">
        <v>89</v>
      </c>
      <c r="O4" t="s">
        <v>82</v>
      </c>
      <c r="P4" t="s">
        <v>82</v>
      </c>
      <c r="Q4" t="s">
        <v>84</v>
      </c>
      <c r="R4" t="s">
        <v>89</v>
      </c>
      <c r="S4" t="s">
        <v>88</v>
      </c>
      <c r="T4" t="s">
        <v>90</v>
      </c>
      <c r="U4" t="s">
        <v>86</v>
      </c>
      <c r="V4" t="s">
        <v>89</v>
      </c>
      <c r="W4" t="s">
        <v>82</v>
      </c>
      <c r="X4" t="s">
        <v>82</v>
      </c>
      <c r="Y4" t="s">
        <v>91</v>
      </c>
      <c r="Z4" t="s">
        <v>84</v>
      </c>
      <c r="AA4" t="s">
        <v>82</v>
      </c>
      <c r="AB4" t="s">
        <v>82</v>
      </c>
      <c r="AC4" t="s">
        <v>82</v>
      </c>
      <c r="AD4" t="s">
        <v>89</v>
      </c>
      <c r="AE4" t="s">
        <v>82</v>
      </c>
      <c r="AF4" t="s">
        <v>82</v>
      </c>
      <c r="AG4" t="s">
        <v>82</v>
      </c>
      <c r="AH4" t="s">
        <v>84</v>
      </c>
      <c r="AI4" t="s">
        <v>85</v>
      </c>
      <c r="AJ4" t="s">
        <v>89</v>
      </c>
      <c r="AK4" t="s">
        <v>92</v>
      </c>
      <c r="AL4" t="s">
        <v>84</v>
      </c>
      <c r="AM4" t="s">
        <v>84</v>
      </c>
      <c r="AN4" t="s">
        <v>91</v>
      </c>
      <c r="AO4" t="s">
        <v>82</v>
      </c>
      <c r="AP4" t="s">
        <v>93</v>
      </c>
      <c r="AQ4" t="s">
        <v>84</v>
      </c>
      <c r="AR4" t="s">
        <v>94</v>
      </c>
      <c r="AS4" t="s">
        <v>95</v>
      </c>
      <c r="AT4" t="s">
        <v>83</v>
      </c>
      <c r="AU4" t="s">
        <v>89</v>
      </c>
      <c r="AV4" t="s">
        <v>92</v>
      </c>
      <c r="AW4" t="s">
        <v>89</v>
      </c>
      <c r="AX4" t="s">
        <v>83</v>
      </c>
      <c r="AY4" t="s">
        <v>89</v>
      </c>
      <c r="AZ4" t="s">
        <v>82</v>
      </c>
      <c r="BA4" t="s">
        <v>82</v>
      </c>
      <c r="BB4" t="s">
        <v>89</v>
      </c>
      <c r="BC4" t="s">
        <v>85</v>
      </c>
      <c r="BD4" t="s">
        <v>85</v>
      </c>
      <c r="BE4" t="s">
        <v>85</v>
      </c>
      <c r="BF4" t="s">
        <v>93</v>
      </c>
      <c r="BG4" t="s">
        <v>82</v>
      </c>
      <c r="BH4" t="s">
        <v>87</v>
      </c>
      <c r="BI4" t="s">
        <v>82</v>
      </c>
      <c r="BJ4" t="s">
        <v>83</v>
      </c>
      <c r="BK4" t="s">
        <v>82</v>
      </c>
      <c r="BL4" t="s">
        <v>96</v>
      </c>
      <c r="BM4" t="s">
        <v>88</v>
      </c>
      <c r="BN4" t="s">
        <v>89</v>
      </c>
      <c r="BO4" t="s">
        <v>97</v>
      </c>
      <c r="BP4" t="s">
        <v>82</v>
      </c>
      <c r="BQ4" t="s">
        <v>89</v>
      </c>
      <c r="BR4" t="s">
        <v>85</v>
      </c>
      <c r="BS4" t="s">
        <v>83</v>
      </c>
      <c r="BT4" t="s">
        <v>82</v>
      </c>
      <c r="BU4" t="s">
        <v>85</v>
      </c>
      <c r="BV4" t="s">
        <v>82</v>
      </c>
      <c r="BW4" t="s">
        <v>89</v>
      </c>
      <c r="BX4" t="s">
        <v>95</v>
      </c>
      <c r="BY4" t="s">
        <v>95</v>
      </c>
      <c r="BZ4" t="s">
        <v>82</v>
      </c>
      <c r="CA4" t="s">
        <v>98</v>
      </c>
      <c r="CB4" t="s">
        <v>99</v>
      </c>
      <c r="CC4" t="s">
        <v>100</v>
      </c>
      <c r="CD4" t="s">
        <v>101</v>
      </c>
    </row>
    <row r="5" spans="1:82" ht="15" customHeight="1" x14ac:dyDescent="0.25">
      <c r="A5" t="s">
        <v>83</v>
      </c>
      <c r="B5" t="s">
        <v>84</v>
      </c>
      <c r="C5" t="s">
        <v>89</v>
      </c>
      <c r="D5" t="s">
        <v>84</v>
      </c>
      <c r="E5" t="s">
        <v>84</v>
      </c>
      <c r="F5" t="s">
        <v>89</v>
      </c>
      <c r="G5" t="s">
        <v>102</v>
      </c>
      <c r="H5" t="s">
        <v>88</v>
      </c>
      <c r="I5" t="s">
        <v>89</v>
      </c>
      <c r="J5" t="s">
        <v>103</v>
      </c>
      <c r="K5" t="s">
        <v>87</v>
      </c>
      <c r="L5" t="s">
        <v>104</v>
      </c>
      <c r="M5" t="s">
        <v>105</v>
      </c>
      <c r="N5" t="s">
        <v>87</v>
      </c>
      <c r="O5" t="s">
        <v>86</v>
      </c>
      <c r="P5" t="s">
        <v>89</v>
      </c>
      <c r="Q5" t="s">
        <v>92</v>
      </c>
      <c r="R5" t="s">
        <v>102</v>
      </c>
      <c r="S5" t="s">
        <v>102</v>
      </c>
      <c r="T5" t="s">
        <v>106</v>
      </c>
      <c r="U5" t="s">
        <v>89</v>
      </c>
      <c r="V5" t="s">
        <v>95</v>
      </c>
      <c r="W5" t="s">
        <v>84</v>
      </c>
      <c r="X5" t="s">
        <v>91</v>
      </c>
      <c r="Y5" t="s">
        <v>89</v>
      </c>
      <c r="Z5" t="s">
        <v>92</v>
      </c>
      <c r="AA5" t="s">
        <v>84</v>
      </c>
      <c r="AB5" t="s">
        <v>84</v>
      </c>
      <c r="AC5" t="s">
        <v>107</v>
      </c>
      <c r="AD5" t="s">
        <v>87</v>
      </c>
      <c r="AE5" t="s">
        <v>92</v>
      </c>
      <c r="AF5" t="s">
        <v>84</v>
      </c>
      <c r="AG5" t="s">
        <v>89</v>
      </c>
      <c r="AH5" t="s">
        <v>92</v>
      </c>
      <c r="AI5" t="s">
        <v>94</v>
      </c>
      <c r="AJ5" t="s">
        <v>92</v>
      </c>
      <c r="AK5" t="s">
        <v>97</v>
      </c>
      <c r="AL5" t="s">
        <v>89</v>
      </c>
      <c r="AM5" t="s">
        <v>94</v>
      </c>
      <c r="AN5" t="s">
        <v>82</v>
      </c>
      <c r="AO5" t="s">
        <v>107</v>
      </c>
      <c r="AP5" t="s">
        <v>88</v>
      </c>
      <c r="AQ5" t="s">
        <v>88</v>
      </c>
      <c r="AR5" t="s">
        <v>87</v>
      </c>
      <c r="AS5" t="s">
        <v>108</v>
      </c>
      <c r="AT5" t="s">
        <v>104</v>
      </c>
      <c r="AU5" t="s">
        <v>92</v>
      </c>
      <c r="AV5" t="s">
        <v>82</v>
      </c>
      <c r="AW5" t="s">
        <v>95</v>
      </c>
      <c r="AX5" t="s">
        <v>84</v>
      </c>
      <c r="AY5" t="s">
        <v>104</v>
      </c>
      <c r="AZ5" t="s">
        <v>89</v>
      </c>
      <c r="BA5" t="s">
        <v>92</v>
      </c>
      <c r="BB5" t="s">
        <v>82</v>
      </c>
      <c r="BC5" t="s">
        <v>109</v>
      </c>
      <c r="BD5" t="s">
        <v>88</v>
      </c>
      <c r="BE5" t="s">
        <v>87</v>
      </c>
      <c r="BF5" t="s">
        <v>102</v>
      </c>
      <c r="BG5" t="s">
        <v>86</v>
      </c>
      <c r="BH5" t="s">
        <v>103</v>
      </c>
      <c r="BI5" t="s">
        <v>89</v>
      </c>
      <c r="BJ5" t="s">
        <v>89</v>
      </c>
      <c r="BK5" t="s">
        <v>89</v>
      </c>
      <c r="BL5" t="s">
        <v>97</v>
      </c>
      <c r="BM5" t="s">
        <v>103</v>
      </c>
      <c r="BN5" t="s">
        <v>92</v>
      </c>
      <c r="BO5" t="s">
        <v>110</v>
      </c>
      <c r="BP5" t="s">
        <v>89</v>
      </c>
      <c r="BQ5" t="s">
        <v>85</v>
      </c>
      <c r="BR5" t="s">
        <v>95</v>
      </c>
      <c r="BS5" t="s">
        <v>107</v>
      </c>
      <c r="BT5" t="s">
        <v>88</v>
      </c>
      <c r="BU5" t="s">
        <v>102</v>
      </c>
      <c r="BV5" t="s">
        <v>89</v>
      </c>
      <c r="BW5" t="s">
        <v>111</v>
      </c>
      <c r="BX5" t="s">
        <v>110</v>
      </c>
      <c r="BY5" t="s">
        <v>108</v>
      </c>
      <c r="BZ5" t="s">
        <v>112</v>
      </c>
    </row>
    <row r="6" spans="1:82" ht="15" customHeight="1" x14ac:dyDescent="0.25">
      <c r="A6" t="s">
        <v>91</v>
      </c>
      <c r="B6" t="s">
        <v>85</v>
      </c>
      <c r="C6" t="s">
        <v>92</v>
      </c>
      <c r="D6" t="s">
        <v>92</v>
      </c>
      <c r="E6" t="s">
        <v>92</v>
      </c>
      <c r="F6" t="s">
        <v>92</v>
      </c>
      <c r="G6" t="s">
        <v>87</v>
      </c>
      <c r="H6" t="s">
        <v>109</v>
      </c>
      <c r="I6" t="s">
        <v>92</v>
      </c>
      <c r="J6" t="s">
        <v>102</v>
      </c>
      <c r="K6" t="s">
        <v>95</v>
      </c>
      <c r="L6" t="s">
        <v>102</v>
      </c>
      <c r="M6" t="s">
        <v>95</v>
      </c>
      <c r="N6" t="s">
        <v>103</v>
      </c>
      <c r="O6" t="s">
        <v>92</v>
      </c>
      <c r="P6" t="s">
        <v>93</v>
      </c>
      <c r="Q6" t="s">
        <v>94</v>
      </c>
      <c r="R6" t="s">
        <v>95</v>
      </c>
      <c r="S6" t="s">
        <v>95</v>
      </c>
      <c r="T6" t="s">
        <v>98</v>
      </c>
      <c r="U6" t="s">
        <v>88</v>
      </c>
      <c r="V6" t="s">
        <v>90</v>
      </c>
      <c r="W6" t="s">
        <v>92</v>
      </c>
      <c r="X6" t="s">
        <v>92</v>
      </c>
      <c r="Y6" t="s">
        <v>93</v>
      </c>
      <c r="Z6" t="s">
        <v>87</v>
      </c>
      <c r="AA6" t="s">
        <v>85</v>
      </c>
      <c r="AB6" t="s">
        <v>92</v>
      </c>
      <c r="AC6" t="s">
        <v>85</v>
      </c>
      <c r="AD6" t="s">
        <v>85</v>
      </c>
      <c r="AE6" t="s">
        <v>88</v>
      </c>
      <c r="AF6" t="s">
        <v>89</v>
      </c>
      <c r="AG6" t="s">
        <v>85</v>
      </c>
      <c r="AH6" t="s">
        <v>88</v>
      </c>
      <c r="AI6" t="s">
        <v>96</v>
      </c>
      <c r="AJ6" t="s">
        <v>83</v>
      </c>
      <c r="AK6" t="s">
        <v>109</v>
      </c>
      <c r="AL6" t="s">
        <v>87</v>
      </c>
      <c r="AM6" t="s">
        <v>82</v>
      </c>
      <c r="AN6" t="s">
        <v>103</v>
      </c>
      <c r="AO6" t="s">
        <v>89</v>
      </c>
      <c r="AP6" t="s">
        <v>85</v>
      </c>
      <c r="AQ6" t="s">
        <v>105</v>
      </c>
      <c r="AR6" t="s">
        <v>102</v>
      </c>
      <c r="AS6" t="s">
        <v>113</v>
      </c>
      <c r="AT6" t="s">
        <v>87</v>
      </c>
      <c r="AU6" t="s">
        <v>102</v>
      </c>
      <c r="AV6" t="s">
        <v>87</v>
      </c>
      <c r="AW6" t="s">
        <v>90</v>
      </c>
      <c r="AX6" t="s">
        <v>85</v>
      </c>
      <c r="AY6" t="s">
        <v>88</v>
      </c>
      <c r="AZ6" t="s">
        <v>92</v>
      </c>
      <c r="BA6" t="s">
        <v>109</v>
      </c>
      <c r="BB6" t="s">
        <v>88</v>
      </c>
      <c r="BC6" t="s">
        <v>95</v>
      </c>
      <c r="BD6" t="s">
        <v>103</v>
      </c>
      <c r="BE6" t="s">
        <v>109</v>
      </c>
      <c r="BF6" t="s">
        <v>112</v>
      </c>
      <c r="BG6" t="s">
        <v>87</v>
      </c>
      <c r="BH6" t="s">
        <v>108</v>
      </c>
      <c r="BI6" t="s">
        <v>85</v>
      </c>
      <c r="BJ6" t="s">
        <v>93</v>
      </c>
      <c r="BK6" t="s">
        <v>103</v>
      </c>
      <c r="BL6" t="s">
        <v>113</v>
      </c>
      <c r="BM6" t="s">
        <v>85</v>
      </c>
      <c r="BN6" t="s">
        <v>82</v>
      </c>
      <c r="BO6" t="s">
        <v>112</v>
      </c>
      <c r="BP6" t="s">
        <v>107</v>
      </c>
      <c r="BQ6" t="s">
        <v>88</v>
      </c>
      <c r="BR6" t="s">
        <v>88</v>
      </c>
      <c r="BS6" t="s">
        <v>103</v>
      </c>
      <c r="BT6" t="s">
        <v>103</v>
      </c>
      <c r="BU6" t="s">
        <v>113</v>
      </c>
      <c r="BV6" t="s">
        <v>92</v>
      </c>
      <c r="BW6" t="s">
        <v>99</v>
      </c>
      <c r="BX6" t="s">
        <v>114</v>
      </c>
      <c r="BY6" t="s">
        <v>113</v>
      </c>
    </row>
    <row r="7" spans="1:82" ht="15" customHeight="1" x14ac:dyDescent="0.25">
      <c r="A7" t="s">
        <v>92</v>
      </c>
      <c r="B7" t="s">
        <v>88</v>
      </c>
      <c r="C7" t="s">
        <v>87</v>
      </c>
      <c r="D7" t="s">
        <v>87</v>
      </c>
      <c r="E7" t="s">
        <v>93</v>
      </c>
      <c r="F7" t="s">
        <v>87</v>
      </c>
      <c r="G7" t="s">
        <v>110</v>
      </c>
      <c r="H7" t="s">
        <v>103</v>
      </c>
      <c r="I7" t="s">
        <v>109</v>
      </c>
      <c r="J7" t="s">
        <v>110</v>
      </c>
      <c r="K7" t="s">
        <v>108</v>
      </c>
      <c r="L7" t="s">
        <v>95</v>
      </c>
      <c r="M7" t="s">
        <v>103</v>
      </c>
      <c r="N7" t="s">
        <v>109</v>
      </c>
      <c r="O7" t="s">
        <v>87</v>
      </c>
      <c r="P7" t="s">
        <v>88</v>
      </c>
      <c r="Q7" t="s">
        <v>96</v>
      </c>
      <c r="R7" t="s">
        <v>87</v>
      </c>
      <c r="S7" t="s">
        <v>93</v>
      </c>
      <c r="T7" t="s">
        <v>99</v>
      </c>
      <c r="U7" t="s">
        <v>113</v>
      </c>
      <c r="V7" t="s">
        <v>114</v>
      </c>
      <c r="W7" t="s">
        <v>88</v>
      </c>
      <c r="X7" t="s">
        <v>87</v>
      </c>
      <c r="Y7" t="s">
        <v>109</v>
      </c>
      <c r="Z7" t="s">
        <v>109</v>
      </c>
      <c r="AA7" t="s">
        <v>87</v>
      </c>
      <c r="AB7" t="s">
        <v>87</v>
      </c>
      <c r="AC7" t="s">
        <v>102</v>
      </c>
      <c r="AD7" t="s">
        <v>115</v>
      </c>
      <c r="AE7" t="s">
        <v>102</v>
      </c>
      <c r="AF7" t="s">
        <v>85</v>
      </c>
      <c r="AG7" t="s">
        <v>87</v>
      </c>
      <c r="AH7" t="s">
        <v>109</v>
      </c>
      <c r="AI7" t="s">
        <v>109</v>
      </c>
      <c r="AJ7" t="s">
        <v>88</v>
      </c>
      <c r="AK7" t="s">
        <v>108</v>
      </c>
      <c r="AL7" t="s">
        <v>102</v>
      </c>
      <c r="AM7" t="s">
        <v>87</v>
      </c>
      <c r="AN7" t="s">
        <v>113</v>
      </c>
      <c r="AO7" t="s">
        <v>96</v>
      </c>
      <c r="AP7" t="s">
        <v>110</v>
      </c>
      <c r="AQ7" t="s">
        <v>109</v>
      </c>
      <c r="AR7" t="s">
        <v>103</v>
      </c>
      <c r="AS7" t="s">
        <v>111</v>
      </c>
      <c r="AT7" t="s">
        <v>109</v>
      </c>
      <c r="AU7" t="s">
        <v>103</v>
      </c>
      <c r="AV7" t="s">
        <v>109</v>
      </c>
      <c r="AW7" t="s">
        <v>116</v>
      </c>
      <c r="AX7" t="s">
        <v>88</v>
      </c>
      <c r="AY7" t="s">
        <v>102</v>
      </c>
      <c r="AZ7" t="s">
        <v>88</v>
      </c>
      <c r="BA7" t="s">
        <v>103</v>
      </c>
      <c r="BB7" t="s">
        <v>109</v>
      </c>
      <c r="BC7" t="s">
        <v>113</v>
      </c>
      <c r="BD7" t="s">
        <v>113</v>
      </c>
      <c r="BE7" t="s">
        <v>95</v>
      </c>
      <c r="BF7" t="s">
        <v>108</v>
      </c>
      <c r="BG7" t="s">
        <v>102</v>
      </c>
      <c r="BH7" t="s">
        <v>117</v>
      </c>
      <c r="BI7" t="s">
        <v>88</v>
      </c>
      <c r="BJ7" t="s">
        <v>109</v>
      </c>
      <c r="BK7" t="s">
        <v>88</v>
      </c>
      <c r="BL7" t="s">
        <v>118</v>
      </c>
      <c r="BM7" t="s">
        <v>108</v>
      </c>
      <c r="BN7" t="s">
        <v>109</v>
      </c>
      <c r="BO7" t="s">
        <v>113</v>
      </c>
      <c r="BP7" t="s">
        <v>87</v>
      </c>
      <c r="BQ7" t="s">
        <v>95</v>
      </c>
      <c r="BR7" t="s">
        <v>87</v>
      </c>
      <c r="BS7" t="s">
        <v>110</v>
      </c>
      <c r="BT7" t="s">
        <v>110</v>
      </c>
      <c r="BU7" t="s">
        <v>118</v>
      </c>
      <c r="BV7" t="s">
        <v>109</v>
      </c>
      <c r="BW7" t="s">
        <v>119</v>
      </c>
    </row>
    <row r="8" spans="1:82" ht="15" customHeight="1" x14ac:dyDescent="0.25">
      <c r="A8" t="s">
        <v>104</v>
      </c>
      <c r="B8" t="s">
        <v>103</v>
      </c>
      <c r="C8" t="s">
        <v>97</v>
      </c>
      <c r="D8" t="s">
        <v>120</v>
      </c>
      <c r="E8" t="s">
        <v>105</v>
      </c>
      <c r="F8" t="s">
        <v>109</v>
      </c>
      <c r="G8" t="s">
        <v>90</v>
      </c>
      <c r="H8" t="s">
        <v>85</v>
      </c>
      <c r="I8" t="s">
        <v>95</v>
      </c>
      <c r="J8" t="s">
        <v>90</v>
      </c>
      <c r="K8" t="s">
        <v>110</v>
      </c>
      <c r="L8" t="s">
        <v>103</v>
      </c>
      <c r="M8" t="s">
        <v>87</v>
      </c>
      <c r="N8" t="s">
        <v>84</v>
      </c>
      <c r="O8" t="s">
        <v>109</v>
      </c>
      <c r="P8" t="s">
        <v>103</v>
      </c>
      <c r="Q8" t="s">
        <v>103</v>
      </c>
      <c r="R8" t="s">
        <v>84</v>
      </c>
      <c r="S8" t="s">
        <v>108</v>
      </c>
      <c r="T8" t="s">
        <v>101</v>
      </c>
      <c r="U8" t="s">
        <v>95</v>
      </c>
      <c r="V8" t="s">
        <v>118</v>
      </c>
      <c r="W8" t="s">
        <v>85</v>
      </c>
      <c r="X8" t="s">
        <v>109</v>
      </c>
      <c r="Y8" t="s">
        <v>103</v>
      </c>
      <c r="Z8" t="s">
        <v>103</v>
      </c>
      <c r="AA8" t="s">
        <v>109</v>
      </c>
      <c r="AB8" t="s">
        <v>109</v>
      </c>
      <c r="AC8" t="s">
        <v>103</v>
      </c>
      <c r="AD8" t="s">
        <v>121</v>
      </c>
      <c r="AE8" t="s">
        <v>84</v>
      </c>
      <c r="AF8" t="s">
        <v>87</v>
      </c>
      <c r="AG8" t="s">
        <v>88</v>
      </c>
      <c r="AH8" t="s">
        <v>95</v>
      </c>
      <c r="AI8" t="s">
        <v>95</v>
      </c>
      <c r="AJ8" t="s">
        <v>102</v>
      </c>
      <c r="AK8" t="s">
        <v>112</v>
      </c>
      <c r="AL8" t="s">
        <v>110</v>
      </c>
      <c r="AM8" t="s">
        <v>102</v>
      </c>
      <c r="AN8" t="s">
        <v>102</v>
      </c>
      <c r="AO8" t="s">
        <v>102</v>
      </c>
      <c r="AP8" t="s">
        <v>90</v>
      </c>
      <c r="AQ8" t="s">
        <v>108</v>
      </c>
      <c r="AR8" t="s">
        <v>110</v>
      </c>
      <c r="AS8" t="s">
        <v>118</v>
      </c>
      <c r="AT8" t="s">
        <v>108</v>
      </c>
      <c r="AU8" t="s">
        <v>88</v>
      </c>
      <c r="AV8" t="s">
        <v>95</v>
      </c>
      <c r="AW8" t="s">
        <v>122</v>
      </c>
      <c r="AX8" t="s">
        <v>102</v>
      </c>
      <c r="AY8" t="s">
        <v>123</v>
      </c>
      <c r="AZ8" t="s">
        <v>102</v>
      </c>
      <c r="BA8" t="s">
        <v>110</v>
      </c>
      <c r="BB8" t="s">
        <v>103</v>
      </c>
      <c r="BC8" t="s">
        <v>106</v>
      </c>
      <c r="BD8" t="s">
        <v>109</v>
      </c>
      <c r="BE8" t="s">
        <v>108</v>
      </c>
      <c r="BF8" t="s">
        <v>111</v>
      </c>
      <c r="BG8" t="s">
        <v>90</v>
      </c>
      <c r="BH8" t="s">
        <v>115</v>
      </c>
      <c r="BI8" t="s">
        <v>95</v>
      </c>
      <c r="BJ8" t="s">
        <v>103</v>
      </c>
      <c r="BK8" t="s">
        <v>113</v>
      </c>
      <c r="BL8" t="s">
        <v>124</v>
      </c>
      <c r="BM8" t="s">
        <v>90</v>
      </c>
      <c r="BN8" t="s">
        <v>113</v>
      </c>
      <c r="BO8" t="s">
        <v>117</v>
      </c>
      <c r="BP8" t="s">
        <v>102</v>
      </c>
      <c r="BQ8" t="s">
        <v>123</v>
      </c>
      <c r="BR8" t="s">
        <v>113</v>
      </c>
      <c r="BS8" t="s">
        <v>118</v>
      </c>
      <c r="BT8" t="s">
        <v>124</v>
      </c>
      <c r="BU8" t="s">
        <v>125</v>
      </c>
      <c r="BV8" t="s">
        <v>85</v>
      </c>
    </row>
    <row r="9" spans="1:82" ht="15" customHeight="1" x14ac:dyDescent="0.25">
      <c r="A9" t="s">
        <v>87</v>
      </c>
      <c r="B9" t="s">
        <v>108</v>
      </c>
      <c r="C9" t="s">
        <v>108</v>
      </c>
      <c r="D9" t="s">
        <v>105</v>
      </c>
      <c r="E9" t="s">
        <v>109</v>
      </c>
      <c r="F9" t="s">
        <v>103</v>
      </c>
      <c r="G9" t="s">
        <v>112</v>
      </c>
      <c r="H9" t="s">
        <v>90</v>
      </c>
      <c r="I9" t="s">
        <v>120</v>
      </c>
      <c r="J9" t="s">
        <v>113</v>
      </c>
      <c r="K9" t="s">
        <v>90</v>
      </c>
      <c r="L9" t="s">
        <v>93</v>
      </c>
      <c r="M9" t="s">
        <v>108</v>
      </c>
      <c r="N9" t="s">
        <v>108</v>
      </c>
      <c r="O9" t="s">
        <v>103</v>
      </c>
      <c r="P9" t="s">
        <v>110</v>
      </c>
      <c r="Q9" t="s">
        <v>88</v>
      </c>
      <c r="R9" t="s">
        <v>110</v>
      </c>
      <c r="S9" t="s">
        <v>126</v>
      </c>
      <c r="T9" t="s">
        <v>119</v>
      </c>
      <c r="U9" t="s">
        <v>117</v>
      </c>
      <c r="V9" t="s">
        <v>101</v>
      </c>
      <c r="W9" t="s">
        <v>110</v>
      </c>
      <c r="X9" t="s">
        <v>103</v>
      </c>
      <c r="Y9" t="s">
        <v>85</v>
      </c>
      <c r="Z9" t="s">
        <v>127</v>
      </c>
      <c r="AA9" t="s">
        <v>92</v>
      </c>
      <c r="AB9" t="s">
        <v>127</v>
      </c>
      <c r="AC9" t="s">
        <v>110</v>
      </c>
      <c r="AD9" t="s">
        <v>128</v>
      </c>
      <c r="AE9" t="s">
        <v>108</v>
      </c>
      <c r="AF9" t="s">
        <v>109</v>
      </c>
      <c r="AG9" t="s">
        <v>102</v>
      </c>
      <c r="AH9" t="s">
        <v>127</v>
      </c>
      <c r="AI9" t="s">
        <v>108</v>
      </c>
      <c r="AJ9" t="s">
        <v>95</v>
      </c>
      <c r="AK9" t="s">
        <v>95</v>
      </c>
      <c r="AL9" t="s">
        <v>118</v>
      </c>
      <c r="AM9" t="s">
        <v>109</v>
      </c>
      <c r="AN9" t="s">
        <v>111</v>
      </c>
      <c r="AO9" t="s">
        <v>95</v>
      </c>
      <c r="AP9" t="s">
        <v>117</v>
      </c>
      <c r="AQ9" t="s">
        <v>90</v>
      </c>
      <c r="AR9" t="s">
        <v>113</v>
      </c>
      <c r="AS9" t="s">
        <v>129</v>
      </c>
      <c r="AT9" t="s">
        <v>90</v>
      </c>
      <c r="AU9" t="s">
        <v>108</v>
      </c>
      <c r="AV9" t="s">
        <v>113</v>
      </c>
      <c r="AW9" t="s">
        <v>130</v>
      </c>
      <c r="AX9" t="s">
        <v>95</v>
      </c>
      <c r="AY9" t="s">
        <v>90</v>
      </c>
      <c r="AZ9" t="s">
        <v>109</v>
      </c>
      <c r="BA9" t="s">
        <v>90</v>
      </c>
      <c r="BB9" t="s">
        <v>102</v>
      </c>
      <c r="BC9" t="s">
        <v>98</v>
      </c>
      <c r="BD9" t="s">
        <v>117</v>
      </c>
      <c r="BE9" t="s">
        <v>117</v>
      </c>
      <c r="BF9" t="s">
        <v>99</v>
      </c>
      <c r="BG9" t="s">
        <v>118</v>
      </c>
      <c r="BH9" t="s">
        <v>100</v>
      </c>
      <c r="BI9" t="s">
        <v>113</v>
      </c>
      <c r="BJ9" t="s">
        <v>108</v>
      </c>
      <c r="BK9" t="s">
        <v>117</v>
      </c>
      <c r="BL9" t="s">
        <v>99</v>
      </c>
      <c r="BM9" t="s">
        <v>117</v>
      </c>
      <c r="BN9" t="s">
        <v>118</v>
      </c>
      <c r="BO9" t="s">
        <v>115</v>
      </c>
      <c r="BP9" t="s">
        <v>103</v>
      </c>
      <c r="BQ9" t="s">
        <v>110</v>
      </c>
      <c r="BR9" t="s">
        <v>114</v>
      </c>
      <c r="BS9" t="s">
        <v>101</v>
      </c>
      <c r="BT9" t="s">
        <v>128</v>
      </c>
      <c r="BU9" t="s">
        <v>131</v>
      </c>
    </row>
    <row r="10" spans="1:82" ht="15" customHeight="1" x14ac:dyDescent="0.25">
      <c r="A10" t="s">
        <v>120</v>
      </c>
      <c r="B10" t="s">
        <v>110</v>
      </c>
      <c r="C10" t="s">
        <v>90</v>
      </c>
      <c r="D10" t="s">
        <v>95</v>
      </c>
      <c r="E10" t="s">
        <v>88</v>
      </c>
      <c r="F10" t="s">
        <v>90</v>
      </c>
      <c r="G10" t="s">
        <v>121</v>
      </c>
      <c r="H10" t="s">
        <v>110</v>
      </c>
      <c r="I10" t="s">
        <v>108</v>
      </c>
      <c r="J10" t="s">
        <v>95</v>
      </c>
      <c r="K10" t="s">
        <v>118</v>
      </c>
      <c r="L10" t="s">
        <v>123</v>
      </c>
      <c r="M10" t="s">
        <v>90</v>
      </c>
      <c r="N10" t="s">
        <v>90</v>
      </c>
      <c r="O10" t="s">
        <v>110</v>
      </c>
      <c r="P10" t="s">
        <v>113</v>
      </c>
      <c r="Q10" t="s">
        <v>90</v>
      </c>
      <c r="R10" t="s">
        <v>113</v>
      </c>
      <c r="S10" t="s">
        <v>125</v>
      </c>
      <c r="T10" t="s">
        <v>132</v>
      </c>
      <c r="U10" t="s">
        <v>125</v>
      </c>
      <c r="V10" t="s">
        <v>133</v>
      </c>
      <c r="W10" t="s">
        <v>112</v>
      </c>
      <c r="X10" t="s">
        <v>84</v>
      </c>
      <c r="Y10" t="s">
        <v>113</v>
      </c>
      <c r="Z10" t="s">
        <v>95</v>
      </c>
      <c r="AA10" t="s">
        <v>127</v>
      </c>
      <c r="AB10" t="s">
        <v>113</v>
      </c>
      <c r="AC10" t="s">
        <v>90</v>
      </c>
      <c r="AD10" t="s">
        <v>99</v>
      </c>
      <c r="AE10" t="s">
        <v>90</v>
      </c>
      <c r="AF10" t="s">
        <v>103</v>
      </c>
      <c r="AG10" t="s">
        <v>95</v>
      </c>
      <c r="AH10" t="s">
        <v>113</v>
      </c>
      <c r="AI10" t="s">
        <v>103</v>
      </c>
      <c r="AJ10" t="s">
        <v>113</v>
      </c>
      <c r="AK10" t="s">
        <v>111</v>
      </c>
      <c r="AL10" t="s">
        <v>99</v>
      </c>
      <c r="AM10" t="s">
        <v>110</v>
      </c>
      <c r="AN10" t="s">
        <v>98</v>
      </c>
      <c r="AO10" t="s">
        <v>110</v>
      </c>
      <c r="AP10" t="s">
        <v>125</v>
      </c>
      <c r="AQ10" t="s">
        <v>117</v>
      </c>
      <c r="AR10" t="s">
        <v>114</v>
      </c>
      <c r="AS10" t="s">
        <v>115</v>
      </c>
      <c r="AT10" t="s">
        <v>111</v>
      </c>
      <c r="AU10" t="s">
        <v>90</v>
      </c>
      <c r="AV10" t="s">
        <v>134</v>
      </c>
      <c r="AW10" t="s">
        <v>135</v>
      </c>
      <c r="AX10" t="s">
        <v>108</v>
      </c>
      <c r="AY10" t="s">
        <v>98</v>
      </c>
      <c r="AZ10" t="s">
        <v>113</v>
      </c>
      <c r="BA10" t="s">
        <v>113</v>
      </c>
      <c r="BB10" t="s">
        <v>113</v>
      </c>
      <c r="BC10" t="s">
        <v>111</v>
      </c>
      <c r="BD10" t="s">
        <v>114</v>
      </c>
      <c r="BE10" t="s">
        <v>125</v>
      </c>
      <c r="BF10" t="s">
        <v>114</v>
      </c>
      <c r="BG10" t="s">
        <v>136</v>
      </c>
      <c r="BH10" t="s">
        <v>137</v>
      </c>
      <c r="BI10" t="s">
        <v>118</v>
      </c>
      <c r="BJ10" t="s">
        <v>118</v>
      </c>
      <c r="BK10" t="s">
        <v>125</v>
      </c>
      <c r="BL10" t="s">
        <v>132</v>
      </c>
      <c r="BM10" t="s">
        <v>110</v>
      </c>
      <c r="BN10" t="s">
        <v>99</v>
      </c>
      <c r="BO10" t="s">
        <v>137</v>
      </c>
      <c r="BP10" t="s">
        <v>108</v>
      </c>
      <c r="BQ10" t="s">
        <v>128</v>
      </c>
      <c r="BR10" t="s">
        <v>119</v>
      </c>
      <c r="BS10" t="s">
        <v>100</v>
      </c>
      <c r="BT10" t="s">
        <v>138</v>
      </c>
      <c r="BU10" t="s">
        <v>139</v>
      </c>
    </row>
    <row r="11" spans="1:82" ht="15" customHeight="1" x14ac:dyDescent="0.25">
      <c r="A11" t="s">
        <v>102</v>
      </c>
      <c r="B11" t="s">
        <v>90</v>
      </c>
      <c r="C11" t="s">
        <v>113</v>
      </c>
      <c r="D11" t="s">
        <v>88</v>
      </c>
      <c r="E11" t="s">
        <v>103</v>
      </c>
      <c r="F11" t="s">
        <v>120</v>
      </c>
      <c r="G11" t="s">
        <v>117</v>
      </c>
      <c r="H11" t="s">
        <v>117</v>
      </c>
      <c r="I11" t="s">
        <v>103</v>
      </c>
      <c r="J11" t="s">
        <v>108</v>
      </c>
      <c r="K11" t="s">
        <v>114</v>
      </c>
      <c r="L11" t="s">
        <v>110</v>
      </c>
      <c r="M11" t="s">
        <v>98</v>
      </c>
      <c r="N11" t="s">
        <v>111</v>
      </c>
      <c r="O11" t="s">
        <v>90</v>
      </c>
      <c r="P11" t="s">
        <v>117</v>
      </c>
      <c r="Q11" t="s">
        <v>110</v>
      </c>
      <c r="R11" t="s">
        <v>140</v>
      </c>
      <c r="S11" t="s">
        <v>119</v>
      </c>
      <c r="T11" t="s">
        <v>115</v>
      </c>
      <c r="U11" t="s">
        <v>99</v>
      </c>
      <c r="V11" t="s">
        <v>141</v>
      </c>
      <c r="W11" t="s">
        <v>95</v>
      </c>
      <c r="X11" t="s">
        <v>90</v>
      </c>
      <c r="Y11" t="s">
        <v>108</v>
      </c>
      <c r="Z11" t="s">
        <v>98</v>
      </c>
      <c r="AA11" t="s">
        <v>90</v>
      </c>
      <c r="AB11" t="s">
        <v>118</v>
      </c>
      <c r="AC11" t="s">
        <v>95</v>
      </c>
      <c r="AD11" t="s">
        <v>137</v>
      </c>
      <c r="AE11" t="s">
        <v>111</v>
      </c>
      <c r="AF11" t="s">
        <v>113</v>
      </c>
      <c r="AG11" t="s">
        <v>92</v>
      </c>
      <c r="AH11" t="s">
        <v>111</v>
      </c>
      <c r="AI11" t="s">
        <v>111</v>
      </c>
      <c r="AJ11" t="s">
        <v>111</v>
      </c>
      <c r="AK11" t="s">
        <v>117</v>
      </c>
      <c r="AL11" t="s">
        <v>125</v>
      </c>
      <c r="AM11" t="s">
        <v>103</v>
      </c>
      <c r="AN11" t="s">
        <v>142</v>
      </c>
      <c r="AO11" t="s">
        <v>113</v>
      </c>
      <c r="AP11" t="s">
        <v>132</v>
      </c>
      <c r="AQ11" t="s">
        <v>98</v>
      </c>
      <c r="AR11" t="s">
        <v>125</v>
      </c>
      <c r="AS11" t="s">
        <v>98</v>
      </c>
      <c r="AT11" t="s">
        <v>98</v>
      </c>
      <c r="AU11" t="s">
        <v>106</v>
      </c>
      <c r="AV11" t="s">
        <v>118</v>
      </c>
      <c r="AW11" t="s">
        <v>143</v>
      </c>
      <c r="AX11" t="s">
        <v>125</v>
      </c>
      <c r="AY11" t="s">
        <v>125</v>
      </c>
      <c r="AZ11" t="s">
        <v>111</v>
      </c>
      <c r="BA11" t="s">
        <v>118</v>
      </c>
      <c r="BB11" t="s">
        <v>95</v>
      </c>
      <c r="BC11" t="s">
        <v>99</v>
      </c>
      <c r="BD11" t="s">
        <v>131</v>
      </c>
      <c r="BE11" t="s">
        <v>144</v>
      </c>
      <c r="BF11" t="s">
        <v>119</v>
      </c>
      <c r="BG11" t="s">
        <v>101</v>
      </c>
      <c r="BH11" t="s">
        <v>145</v>
      </c>
      <c r="BI11" t="s">
        <v>114</v>
      </c>
      <c r="BJ11" t="s">
        <v>99</v>
      </c>
      <c r="BK11" t="s">
        <v>101</v>
      </c>
      <c r="BL11" t="s">
        <v>119</v>
      </c>
      <c r="BM11" t="s">
        <v>101</v>
      </c>
      <c r="BN11" t="s">
        <v>98</v>
      </c>
      <c r="BO11" t="s">
        <v>116</v>
      </c>
      <c r="BP11" t="s">
        <v>110</v>
      </c>
      <c r="BQ11" t="s">
        <v>125</v>
      </c>
      <c r="BR11" t="s">
        <v>100</v>
      </c>
      <c r="BS11" t="s">
        <v>146</v>
      </c>
    </row>
    <row r="12" spans="1:82" ht="15" customHeight="1" x14ac:dyDescent="0.25">
      <c r="A12" t="s">
        <v>95</v>
      </c>
      <c r="B12" t="s">
        <v>112</v>
      </c>
      <c r="C12" t="s">
        <v>118</v>
      </c>
      <c r="D12" t="s">
        <v>110</v>
      </c>
      <c r="E12" t="s">
        <v>108</v>
      </c>
      <c r="F12" t="s">
        <v>110</v>
      </c>
      <c r="G12" t="s">
        <v>126</v>
      </c>
      <c r="H12" t="s">
        <v>136</v>
      </c>
      <c r="I12" t="s">
        <v>134</v>
      </c>
      <c r="J12" t="s">
        <v>118</v>
      </c>
      <c r="K12" t="s">
        <v>132</v>
      </c>
      <c r="L12" t="s">
        <v>112</v>
      </c>
      <c r="M12" t="s">
        <v>147</v>
      </c>
      <c r="N12" t="s">
        <v>117</v>
      </c>
      <c r="O12" t="s">
        <v>117</v>
      </c>
      <c r="P12" t="s">
        <v>114</v>
      </c>
      <c r="Q12" t="s">
        <v>117</v>
      </c>
      <c r="R12" t="s">
        <v>117</v>
      </c>
      <c r="S12" t="s">
        <v>148</v>
      </c>
      <c r="T12" t="s">
        <v>133</v>
      </c>
      <c r="U12" t="s">
        <v>137</v>
      </c>
      <c r="V12" t="s">
        <v>149</v>
      </c>
      <c r="W12" t="s">
        <v>114</v>
      </c>
      <c r="X12" t="s">
        <v>110</v>
      </c>
      <c r="Y12" t="s">
        <v>118</v>
      </c>
      <c r="Z12" t="s">
        <v>125</v>
      </c>
      <c r="AA12" t="s">
        <v>113</v>
      </c>
      <c r="AB12" t="s">
        <v>126</v>
      </c>
      <c r="AC12" t="s">
        <v>128</v>
      </c>
      <c r="AD12" t="s">
        <v>131</v>
      </c>
      <c r="AE12" t="s">
        <v>98</v>
      </c>
      <c r="AF12" t="s">
        <v>108</v>
      </c>
      <c r="AG12" t="s">
        <v>113</v>
      </c>
      <c r="AH12" t="s">
        <v>98</v>
      </c>
      <c r="AI12" t="s">
        <v>114</v>
      </c>
      <c r="AJ12" t="s">
        <v>117</v>
      </c>
      <c r="AK12" t="s">
        <v>136</v>
      </c>
      <c r="AL12" t="s">
        <v>101</v>
      </c>
      <c r="AM12" t="s">
        <v>117</v>
      </c>
      <c r="AN12" t="s">
        <v>150</v>
      </c>
      <c r="AO12" t="s">
        <v>111</v>
      </c>
      <c r="AP12" t="s">
        <v>133</v>
      </c>
      <c r="AQ12" t="s">
        <v>147</v>
      </c>
      <c r="AR12" t="s">
        <v>99</v>
      </c>
      <c r="AS12" t="s">
        <v>137</v>
      </c>
      <c r="AT12" t="s">
        <v>125</v>
      </c>
      <c r="AU12" t="s">
        <v>98</v>
      </c>
      <c r="AV12" t="s">
        <v>98</v>
      </c>
      <c r="AW12" t="s">
        <v>151</v>
      </c>
      <c r="AX12" t="s">
        <v>124</v>
      </c>
      <c r="AY12" t="s">
        <v>115</v>
      </c>
      <c r="AZ12" t="s">
        <v>98</v>
      </c>
      <c r="BA12" t="s">
        <v>136</v>
      </c>
      <c r="BB12" t="s">
        <v>125</v>
      </c>
      <c r="BC12" t="s">
        <v>119</v>
      </c>
      <c r="BD12" t="s">
        <v>100</v>
      </c>
      <c r="BE12" t="s">
        <v>137</v>
      </c>
      <c r="BF12" t="s">
        <v>100</v>
      </c>
      <c r="BG12" t="s">
        <v>119</v>
      </c>
      <c r="BH12" t="s">
        <v>138</v>
      </c>
      <c r="BI12" t="s">
        <v>115</v>
      </c>
      <c r="BJ12" t="s">
        <v>115</v>
      </c>
      <c r="BK12" t="s">
        <v>137</v>
      </c>
      <c r="BL12" t="s">
        <v>149</v>
      </c>
      <c r="BM12" t="s">
        <v>119</v>
      </c>
      <c r="BN12" t="s">
        <v>101</v>
      </c>
      <c r="BO12" t="s">
        <v>152</v>
      </c>
    </row>
    <row r="13" spans="1:82" ht="15" customHeight="1" x14ac:dyDescent="0.25">
      <c r="A13" t="s">
        <v>108</v>
      </c>
      <c r="B13" t="s">
        <v>98</v>
      </c>
      <c r="C13" t="s">
        <v>106</v>
      </c>
      <c r="D13" t="s">
        <v>113</v>
      </c>
      <c r="E13" t="s">
        <v>90</v>
      </c>
      <c r="F13" t="s">
        <v>113</v>
      </c>
      <c r="G13" t="s">
        <v>125</v>
      </c>
      <c r="H13" t="s">
        <v>99</v>
      </c>
      <c r="I13" t="s">
        <v>117</v>
      </c>
      <c r="J13" t="s">
        <v>125</v>
      </c>
      <c r="K13" t="s">
        <v>133</v>
      </c>
      <c r="L13" t="s">
        <v>140</v>
      </c>
      <c r="M13" t="s">
        <v>99</v>
      </c>
      <c r="N13" t="s">
        <v>98</v>
      </c>
      <c r="O13" t="s">
        <v>114</v>
      </c>
      <c r="P13" t="s">
        <v>125</v>
      </c>
      <c r="Q13" t="s">
        <v>125</v>
      </c>
      <c r="R13" t="s">
        <v>147</v>
      </c>
      <c r="S13" t="s">
        <v>133</v>
      </c>
      <c r="T13" t="s">
        <v>149</v>
      </c>
      <c r="U13" t="s">
        <v>131</v>
      </c>
      <c r="V13" t="s">
        <v>116</v>
      </c>
      <c r="W13" t="s">
        <v>115</v>
      </c>
      <c r="X13" t="s">
        <v>111</v>
      </c>
      <c r="Y13" t="s">
        <v>129</v>
      </c>
      <c r="Z13" t="s">
        <v>99</v>
      </c>
      <c r="AA13" t="s">
        <v>111</v>
      </c>
      <c r="AB13" t="s">
        <v>115</v>
      </c>
      <c r="AC13" t="s">
        <v>114</v>
      </c>
      <c r="AD13" t="s">
        <v>132</v>
      </c>
      <c r="AE13" t="s">
        <v>125</v>
      </c>
      <c r="AF13" t="s">
        <v>140</v>
      </c>
      <c r="AG13" t="s">
        <v>111</v>
      </c>
      <c r="AH13" t="s">
        <v>114</v>
      </c>
      <c r="AI13" t="s">
        <v>117</v>
      </c>
      <c r="AJ13" t="s">
        <v>98</v>
      </c>
      <c r="AK13" t="s">
        <v>99</v>
      </c>
      <c r="AL13" t="s">
        <v>100</v>
      </c>
      <c r="AM13" t="s">
        <v>125</v>
      </c>
      <c r="AN13" t="s">
        <v>118</v>
      </c>
      <c r="AO13" t="s">
        <v>124</v>
      </c>
      <c r="AP13" t="s">
        <v>145</v>
      </c>
      <c r="AQ13" t="s">
        <v>114</v>
      </c>
      <c r="AR13" t="s">
        <v>117</v>
      </c>
      <c r="AS13" t="s">
        <v>131</v>
      </c>
      <c r="AT13" t="s">
        <v>99</v>
      </c>
      <c r="AU13" t="s">
        <v>119</v>
      </c>
      <c r="AV13" t="s">
        <v>125</v>
      </c>
      <c r="AW13" t="s">
        <v>153</v>
      </c>
      <c r="AX13" t="s">
        <v>99</v>
      </c>
      <c r="AY13" t="s">
        <v>119</v>
      </c>
      <c r="AZ13" t="s">
        <v>142</v>
      </c>
      <c r="BA13" t="s">
        <v>119</v>
      </c>
      <c r="BB13" t="s">
        <v>99</v>
      </c>
      <c r="BC13" t="s">
        <v>132</v>
      </c>
      <c r="BD13" t="s">
        <v>145</v>
      </c>
      <c r="BE13" t="s">
        <v>131</v>
      </c>
      <c r="BF13" t="s">
        <v>149</v>
      </c>
      <c r="BG13" t="s">
        <v>132</v>
      </c>
      <c r="BH13" t="s">
        <v>122</v>
      </c>
      <c r="BI13" t="s">
        <v>119</v>
      </c>
      <c r="BJ13" t="s">
        <v>132</v>
      </c>
      <c r="BK13" t="s">
        <v>100</v>
      </c>
      <c r="BL13" t="s">
        <v>154</v>
      </c>
      <c r="BM13" t="s">
        <v>131</v>
      </c>
      <c r="BN13" t="s">
        <v>155</v>
      </c>
    </row>
    <row r="14" spans="1:82" ht="15" customHeight="1" x14ac:dyDescent="0.25">
      <c r="A14" t="s">
        <v>90</v>
      </c>
      <c r="B14" t="s">
        <v>125</v>
      </c>
      <c r="C14" t="s">
        <v>98</v>
      </c>
      <c r="D14" t="s">
        <v>118</v>
      </c>
      <c r="E14" t="s">
        <v>123</v>
      </c>
      <c r="F14" t="s">
        <v>108</v>
      </c>
      <c r="G14" t="s">
        <v>115</v>
      </c>
      <c r="H14" t="s">
        <v>118</v>
      </c>
      <c r="I14" t="s">
        <v>98</v>
      </c>
      <c r="J14" t="s">
        <v>148</v>
      </c>
      <c r="K14" t="s">
        <v>141</v>
      </c>
      <c r="L14" t="s">
        <v>126</v>
      </c>
      <c r="M14" t="s">
        <v>115</v>
      </c>
      <c r="N14" t="s">
        <v>125</v>
      </c>
      <c r="O14" t="s">
        <v>115</v>
      </c>
      <c r="P14" t="s">
        <v>99</v>
      </c>
      <c r="Q14" t="s">
        <v>131</v>
      </c>
      <c r="R14" t="s">
        <v>134</v>
      </c>
      <c r="S14" t="s">
        <v>149</v>
      </c>
      <c r="T14" t="s">
        <v>154</v>
      </c>
      <c r="U14" t="s">
        <v>101</v>
      </c>
      <c r="V14" t="s">
        <v>122</v>
      </c>
      <c r="W14" t="s">
        <v>101</v>
      </c>
      <c r="X14" t="s">
        <v>117</v>
      </c>
      <c r="Y14" t="s">
        <v>98</v>
      </c>
      <c r="Z14" t="s">
        <v>111</v>
      </c>
      <c r="AA14" t="s">
        <v>99</v>
      </c>
      <c r="AB14" t="s">
        <v>125</v>
      </c>
      <c r="AC14" t="s">
        <v>131</v>
      </c>
      <c r="AD14" t="s">
        <v>138</v>
      </c>
      <c r="AE14" t="s">
        <v>99</v>
      </c>
      <c r="AF14" t="s">
        <v>117</v>
      </c>
      <c r="AG14" t="s">
        <v>117</v>
      </c>
      <c r="AH14" t="s">
        <v>137</v>
      </c>
      <c r="AI14" t="s">
        <v>119</v>
      </c>
      <c r="AJ14" t="s">
        <v>114</v>
      </c>
      <c r="AK14" t="s">
        <v>101</v>
      </c>
      <c r="AL14" t="s">
        <v>133</v>
      </c>
      <c r="AM14" t="s">
        <v>99</v>
      </c>
      <c r="AN14" t="s">
        <v>119</v>
      </c>
      <c r="AO14" t="s">
        <v>115</v>
      </c>
      <c r="AP14" t="s">
        <v>116</v>
      </c>
      <c r="AQ14" t="s">
        <v>119</v>
      </c>
      <c r="AR14" t="s">
        <v>119</v>
      </c>
      <c r="AS14" t="s">
        <v>101</v>
      </c>
      <c r="AT14" t="s">
        <v>137</v>
      </c>
      <c r="AU14" t="s">
        <v>132</v>
      </c>
      <c r="AV14" t="s">
        <v>131</v>
      </c>
      <c r="AW14" t="s">
        <v>156</v>
      </c>
      <c r="AX14" t="s">
        <v>101</v>
      </c>
      <c r="AY14" t="s">
        <v>131</v>
      </c>
      <c r="AZ14" t="s">
        <v>150</v>
      </c>
      <c r="BA14" t="s">
        <v>100</v>
      </c>
      <c r="BB14" t="s">
        <v>137</v>
      </c>
      <c r="BC14" t="s">
        <v>133</v>
      </c>
      <c r="BD14" t="s">
        <v>138</v>
      </c>
      <c r="BE14" t="s">
        <v>100</v>
      </c>
      <c r="BF14" t="s">
        <v>122</v>
      </c>
      <c r="BG14" t="s">
        <v>100</v>
      </c>
      <c r="BH14" t="s">
        <v>139</v>
      </c>
      <c r="BI14" t="s">
        <v>138</v>
      </c>
      <c r="BJ14" t="s">
        <v>146</v>
      </c>
      <c r="BK14" t="s">
        <v>154</v>
      </c>
      <c r="BL14" t="s">
        <v>130</v>
      </c>
      <c r="BM14" t="s">
        <v>132</v>
      </c>
    </row>
    <row r="15" spans="1:82" ht="15" customHeight="1" x14ac:dyDescent="0.25">
      <c r="A15" t="s">
        <v>118</v>
      </c>
      <c r="B15" t="s">
        <v>150</v>
      </c>
      <c r="C15" t="s">
        <v>99</v>
      </c>
      <c r="D15" t="s">
        <v>129</v>
      </c>
      <c r="E15" t="s">
        <v>140</v>
      </c>
      <c r="F15" t="s">
        <v>111</v>
      </c>
      <c r="G15" t="s">
        <v>101</v>
      </c>
      <c r="H15" t="s">
        <v>101</v>
      </c>
      <c r="I15" t="s">
        <v>114</v>
      </c>
      <c r="J15" t="s">
        <v>132</v>
      </c>
      <c r="K15" t="s">
        <v>149</v>
      </c>
      <c r="L15" t="s">
        <v>150</v>
      </c>
      <c r="M15" t="s">
        <v>131</v>
      </c>
      <c r="N15" t="s">
        <v>99</v>
      </c>
      <c r="O15" t="s">
        <v>118</v>
      </c>
      <c r="P15" t="s">
        <v>118</v>
      </c>
      <c r="Q15" t="s">
        <v>132</v>
      </c>
      <c r="R15" t="s">
        <v>98</v>
      </c>
      <c r="S15" t="s">
        <v>146</v>
      </c>
      <c r="T15" t="s">
        <v>146</v>
      </c>
      <c r="U15" t="s">
        <v>149</v>
      </c>
      <c r="V15" t="s">
        <v>157</v>
      </c>
      <c r="W15" t="s">
        <v>131</v>
      </c>
      <c r="X15" t="s">
        <v>98</v>
      </c>
      <c r="Y15" t="s">
        <v>125</v>
      </c>
      <c r="Z15" t="s">
        <v>117</v>
      </c>
      <c r="AA15" t="s">
        <v>114</v>
      </c>
      <c r="AB15" t="s">
        <v>137</v>
      </c>
      <c r="AC15" t="s">
        <v>101</v>
      </c>
      <c r="AD15" t="s">
        <v>154</v>
      </c>
      <c r="AE15" t="s">
        <v>137</v>
      </c>
      <c r="AF15" t="s">
        <v>144</v>
      </c>
      <c r="AG15" t="s">
        <v>99</v>
      </c>
      <c r="AH15" t="s">
        <v>131</v>
      </c>
      <c r="AI15" t="s">
        <v>131</v>
      </c>
      <c r="AJ15" t="s">
        <v>137</v>
      </c>
      <c r="AK15" t="s">
        <v>119</v>
      </c>
      <c r="AL15" t="s">
        <v>145</v>
      </c>
      <c r="AM15" t="s">
        <v>114</v>
      </c>
      <c r="AN15" t="s">
        <v>101</v>
      </c>
      <c r="AO15" t="s">
        <v>137</v>
      </c>
      <c r="AP15" t="s">
        <v>122</v>
      </c>
      <c r="AQ15" t="s">
        <v>131</v>
      </c>
      <c r="AR15" t="s">
        <v>131</v>
      </c>
      <c r="AS15" t="s">
        <v>119</v>
      </c>
      <c r="AT15" t="s">
        <v>131</v>
      </c>
      <c r="AU15" t="s">
        <v>133</v>
      </c>
      <c r="AV15" t="s">
        <v>101</v>
      </c>
      <c r="AW15" t="s">
        <v>158</v>
      </c>
      <c r="AX15" t="s">
        <v>132</v>
      </c>
      <c r="AY15" t="s">
        <v>137</v>
      </c>
      <c r="AZ15" t="s">
        <v>137</v>
      </c>
      <c r="BA15" t="s">
        <v>149</v>
      </c>
      <c r="BB15" t="s">
        <v>131</v>
      </c>
      <c r="BC15" t="s">
        <v>154</v>
      </c>
      <c r="BD15" t="s">
        <v>154</v>
      </c>
      <c r="BE15" t="s">
        <v>138</v>
      </c>
      <c r="BF15" t="s">
        <v>139</v>
      </c>
      <c r="BG15" t="s">
        <v>116</v>
      </c>
      <c r="BH15" t="s">
        <v>130</v>
      </c>
      <c r="BI15" t="s">
        <v>152</v>
      </c>
    </row>
    <row r="16" spans="1:82" ht="15" customHeight="1" x14ac:dyDescent="0.25">
      <c r="A16" t="s">
        <v>134</v>
      </c>
      <c r="B16" t="s">
        <v>121</v>
      </c>
      <c r="C16" t="s">
        <v>114</v>
      </c>
      <c r="D16" t="s">
        <v>144</v>
      </c>
      <c r="E16" t="s">
        <v>117</v>
      </c>
      <c r="F16" t="s">
        <v>118</v>
      </c>
      <c r="G16" t="s">
        <v>148</v>
      </c>
      <c r="H16" t="s">
        <v>132</v>
      </c>
      <c r="I16" t="s">
        <v>115</v>
      </c>
      <c r="J16" t="s">
        <v>159</v>
      </c>
      <c r="K16" t="s">
        <v>145</v>
      </c>
      <c r="L16" t="s">
        <v>115</v>
      </c>
      <c r="M16" t="s">
        <v>101</v>
      </c>
      <c r="N16" t="s">
        <v>114</v>
      </c>
      <c r="O16" t="s">
        <v>137</v>
      </c>
      <c r="P16" t="s">
        <v>132</v>
      </c>
      <c r="Q16" t="s">
        <v>133</v>
      </c>
      <c r="R16" t="s">
        <v>137</v>
      </c>
      <c r="S16" t="s">
        <v>160</v>
      </c>
      <c r="T16" t="s">
        <v>130</v>
      </c>
      <c r="U16" t="s">
        <v>138</v>
      </c>
      <c r="V16" t="s">
        <v>146</v>
      </c>
      <c r="W16" t="s">
        <v>133</v>
      </c>
      <c r="X16" t="s">
        <v>142</v>
      </c>
      <c r="Y16" t="s">
        <v>114</v>
      </c>
      <c r="Z16" t="s">
        <v>137</v>
      </c>
      <c r="AA16" t="s">
        <v>125</v>
      </c>
      <c r="AB16" t="s">
        <v>131</v>
      </c>
      <c r="AC16" t="s">
        <v>100</v>
      </c>
      <c r="AD16" t="s">
        <v>130</v>
      </c>
      <c r="AE16" t="s">
        <v>119</v>
      </c>
      <c r="AF16" t="s">
        <v>137</v>
      </c>
      <c r="AG16" t="s">
        <v>114</v>
      </c>
      <c r="AH16" t="s">
        <v>115</v>
      </c>
      <c r="AI16" t="s">
        <v>159</v>
      </c>
      <c r="AJ16" t="s">
        <v>119</v>
      </c>
      <c r="AK16" t="s">
        <v>132</v>
      </c>
      <c r="AL16" t="s">
        <v>116</v>
      </c>
      <c r="AM16" t="s">
        <v>131</v>
      </c>
      <c r="AN16" t="s">
        <v>132</v>
      </c>
      <c r="AO16" t="s">
        <v>131</v>
      </c>
      <c r="AP16" t="s">
        <v>135</v>
      </c>
      <c r="AQ16" t="s">
        <v>100</v>
      </c>
      <c r="AR16" t="s">
        <v>132</v>
      </c>
      <c r="AS16" t="s">
        <v>100</v>
      </c>
      <c r="AT16" t="s">
        <v>119</v>
      </c>
      <c r="AU16" t="s">
        <v>141</v>
      </c>
      <c r="AV16" t="s">
        <v>100</v>
      </c>
      <c r="AW16" t="s">
        <v>161</v>
      </c>
      <c r="AX16" t="s">
        <v>133</v>
      </c>
      <c r="AY16" t="s">
        <v>162</v>
      </c>
      <c r="AZ16" t="s">
        <v>101</v>
      </c>
      <c r="BA16" t="s">
        <v>163</v>
      </c>
      <c r="BB16" t="s">
        <v>100</v>
      </c>
      <c r="BC16" t="s">
        <v>116</v>
      </c>
      <c r="BD16" t="s">
        <v>146</v>
      </c>
      <c r="BE16" t="s">
        <v>135</v>
      </c>
    </row>
    <row r="17" spans="1:56" ht="15" customHeight="1" x14ac:dyDescent="0.25">
      <c r="A17" t="s">
        <v>98</v>
      </c>
      <c r="B17" t="s">
        <v>137</v>
      </c>
      <c r="C17" t="s">
        <v>137</v>
      </c>
      <c r="D17" t="s">
        <v>114</v>
      </c>
      <c r="E17" t="s">
        <v>98</v>
      </c>
      <c r="F17" t="s">
        <v>129</v>
      </c>
      <c r="G17" t="s">
        <v>132</v>
      </c>
      <c r="H17" t="s">
        <v>133</v>
      </c>
      <c r="I17" t="s">
        <v>131</v>
      </c>
      <c r="J17" t="s">
        <v>133</v>
      </c>
      <c r="K17" t="s">
        <v>138</v>
      </c>
      <c r="L17" t="s">
        <v>121</v>
      </c>
      <c r="M17" t="s">
        <v>132</v>
      </c>
      <c r="N17" t="s">
        <v>137</v>
      </c>
      <c r="O17" t="s">
        <v>119</v>
      </c>
      <c r="P17" t="s">
        <v>133</v>
      </c>
      <c r="Q17" t="s">
        <v>149</v>
      </c>
      <c r="R17" t="s">
        <v>119</v>
      </c>
      <c r="S17" t="s">
        <v>135</v>
      </c>
      <c r="T17" t="s">
        <v>135</v>
      </c>
      <c r="U17" t="s">
        <v>130</v>
      </c>
      <c r="V17" t="s">
        <v>130</v>
      </c>
      <c r="W17" t="s">
        <v>145</v>
      </c>
      <c r="X17" t="s">
        <v>125</v>
      </c>
      <c r="Y17" t="s">
        <v>137</v>
      </c>
      <c r="Z17" t="s">
        <v>131</v>
      </c>
      <c r="AA17" t="s">
        <v>137</v>
      </c>
      <c r="AB17" t="s">
        <v>101</v>
      </c>
      <c r="AC17" t="s">
        <v>149</v>
      </c>
      <c r="AD17" t="s">
        <v>135</v>
      </c>
      <c r="AE17" t="s">
        <v>101</v>
      </c>
      <c r="AF17" t="s">
        <v>132</v>
      </c>
      <c r="AG17" t="s">
        <v>137</v>
      </c>
      <c r="AH17" t="s">
        <v>100</v>
      </c>
      <c r="AI17" t="s">
        <v>141</v>
      </c>
      <c r="AJ17" t="s">
        <v>132</v>
      </c>
      <c r="AK17" t="s">
        <v>133</v>
      </c>
      <c r="AL17" t="s">
        <v>122</v>
      </c>
      <c r="AM17" t="s">
        <v>101</v>
      </c>
      <c r="AN17" t="s">
        <v>133</v>
      </c>
      <c r="AO17" t="s">
        <v>145</v>
      </c>
      <c r="AP17" t="s">
        <v>143</v>
      </c>
      <c r="AQ17" t="s">
        <v>164</v>
      </c>
      <c r="AR17" t="s">
        <v>133</v>
      </c>
      <c r="AS17" t="s">
        <v>145</v>
      </c>
      <c r="AT17" t="s">
        <v>100</v>
      </c>
      <c r="AU17" t="s">
        <v>116</v>
      </c>
      <c r="AV17" t="s">
        <v>149</v>
      </c>
      <c r="AW17" t="s">
        <v>165</v>
      </c>
      <c r="AX17" t="s">
        <v>116</v>
      </c>
      <c r="AY17" t="s">
        <v>154</v>
      </c>
      <c r="AZ17" t="s">
        <v>132</v>
      </c>
      <c r="BA17" t="s">
        <v>152</v>
      </c>
      <c r="BB17" t="s">
        <v>139</v>
      </c>
      <c r="BC17" t="s">
        <v>130</v>
      </c>
      <c r="BD17" t="s">
        <v>135</v>
      </c>
    </row>
    <row r="18" spans="1:56" ht="15" customHeight="1" x14ac:dyDescent="0.25">
      <c r="A18" t="s">
        <v>125</v>
      </c>
      <c r="B18" t="s">
        <v>131</v>
      </c>
      <c r="C18" t="s">
        <v>119</v>
      </c>
      <c r="D18" t="s">
        <v>111</v>
      </c>
      <c r="E18" t="s">
        <v>147</v>
      </c>
      <c r="F18" t="s">
        <v>99</v>
      </c>
      <c r="G18" t="s">
        <v>133</v>
      </c>
      <c r="H18" t="s">
        <v>145</v>
      </c>
      <c r="I18" t="s">
        <v>101</v>
      </c>
      <c r="J18" t="s">
        <v>119</v>
      </c>
      <c r="K18" t="s">
        <v>157</v>
      </c>
      <c r="L18" t="s">
        <v>137</v>
      </c>
      <c r="M18" t="s">
        <v>133</v>
      </c>
      <c r="N18" t="s">
        <v>131</v>
      </c>
      <c r="O18" t="s">
        <v>131</v>
      </c>
      <c r="P18" t="s">
        <v>164</v>
      </c>
      <c r="Q18" t="s">
        <v>138</v>
      </c>
      <c r="R18" t="s">
        <v>101</v>
      </c>
      <c r="S18" t="s">
        <v>166</v>
      </c>
      <c r="T18" t="s">
        <v>143</v>
      </c>
      <c r="U18" t="s">
        <v>167</v>
      </c>
      <c r="V18" t="s">
        <v>135</v>
      </c>
      <c r="W18" t="s">
        <v>138</v>
      </c>
      <c r="X18" t="s">
        <v>115</v>
      </c>
      <c r="Y18" t="s">
        <v>131</v>
      </c>
      <c r="Z18" t="s">
        <v>133</v>
      </c>
      <c r="AA18" t="s">
        <v>131</v>
      </c>
      <c r="AB18" t="s">
        <v>100</v>
      </c>
      <c r="AC18" t="s">
        <v>145</v>
      </c>
      <c r="AD18" t="s">
        <v>151</v>
      </c>
      <c r="AE18" t="s">
        <v>132</v>
      </c>
      <c r="AF18" t="s">
        <v>133</v>
      </c>
      <c r="AG18" t="s">
        <v>131</v>
      </c>
      <c r="AH18" t="s">
        <v>133</v>
      </c>
      <c r="AI18" t="s">
        <v>145</v>
      </c>
      <c r="AJ18" t="s">
        <v>100</v>
      </c>
      <c r="AK18" t="s">
        <v>145</v>
      </c>
      <c r="AL18" t="s">
        <v>146</v>
      </c>
      <c r="AM18" t="s">
        <v>119</v>
      </c>
      <c r="AN18" t="s">
        <v>149</v>
      </c>
      <c r="AO18" t="s">
        <v>138</v>
      </c>
      <c r="AP18" t="s">
        <v>153</v>
      </c>
      <c r="AQ18" t="s">
        <v>168</v>
      </c>
      <c r="AR18" t="s">
        <v>154</v>
      </c>
      <c r="AS18" t="s">
        <v>138</v>
      </c>
      <c r="AT18" t="s">
        <v>116</v>
      </c>
      <c r="AU18" t="s">
        <v>154</v>
      </c>
      <c r="AV18" t="s">
        <v>122</v>
      </c>
      <c r="AW18" t="s">
        <v>169</v>
      </c>
      <c r="AX18" t="s">
        <v>146</v>
      </c>
      <c r="AY18" t="s">
        <v>170</v>
      </c>
      <c r="AZ18" t="s">
        <v>138</v>
      </c>
      <c r="BA18" t="s">
        <v>135</v>
      </c>
    </row>
    <row r="19" spans="1:56" ht="15" customHeight="1" x14ac:dyDescent="0.25">
      <c r="A19" t="s">
        <v>144</v>
      </c>
      <c r="B19" t="s">
        <v>132</v>
      </c>
      <c r="C19" t="s">
        <v>115</v>
      </c>
      <c r="D19" t="s">
        <v>98</v>
      </c>
      <c r="E19" t="s">
        <v>115</v>
      </c>
      <c r="F19" t="s">
        <v>117</v>
      </c>
      <c r="G19" t="s">
        <v>164</v>
      </c>
      <c r="H19" t="s">
        <v>138</v>
      </c>
      <c r="I19" t="s">
        <v>100</v>
      </c>
      <c r="J19" t="s">
        <v>141</v>
      </c>
      <c r="K19" t="s">
        <v>154</v>
      </c>
      <c r="L19" t="s">
        <v>119</v>
      </c>
      <c r="M19" t="s">
        <v>137</v>
      </c>
      <c r="N19" t="s">
        <v>101</v>
      </c>
      <c r="O19" t="s">
        <v>159</v>
      </c>
      <c r="P19" t="s">
        <v>145</v>
      </c>
      <c r="Q19" t="s">
        <v>116</v>
      </c>
      <c r="R19" t="s">
        <v>132</v>
      </c>
      <c r="S19" t="s">
        <v>171</v>
      </c>
      <c r="T19" t="s">
        <v>153</v>
      </c>
      <c r="U19" t="s">
        <v>151</v>
      </c>
      <c r="V19" t="s">
        <v>172</v>
      </c>
      <c r="W19" t="s">
        <v>163</v>
      </c>
      <c r="X19" t="s">
        <v>137</v>
      </c>
      <c r="Y19" t="s">
        <v>132</v>
      </c>
      <c r="Z19" t="s">
        <v>145</v>
      </c>
      <c r="AA19" t="s">
        <v>100</v>
      </c>
      <c r="AB19" t="s">
        <v>145</v>
      </c>
      <c r="AC19" t="s">
        <v>154</v>
      </c>
      <c r="AD19" t="s">
        <v>153</v>
      </c>
      <c r="AE19" t="s">
        <v>133</v>
      </c>
      <c r="AF19" t="s">
        <v>145</v>
      </c>
      <c r="AG19" t="s">
        <v>100</v>
      </c>
      <c r="AH19" t="s">
        <v>116</v>
      </c>
      <c r="AI19" t="s">
        <v>116</v>
      </c>
      <c r="AJ19" t="s">
        <v>149</v>
      </c>
      <c r="AK19" t="s">
        <v>116</v>
      </c>
      <c r="AL19" t="s">
        <v>130</v>
      </c>
      <c r="AM19" t="s">
        <v>116</v>
      </c>
      <c r="AN19" t="s">
        <v>138</v>
      </c>
      <c r="AO19" t="s">
        <v>163</v>
      </c>
      <c r="AP19" t="s">
        <v>166</v>
      </c>
      <c r="AQ19" t="s">
        <v>170</v>
      </c>
      <c r="AR19" t="s">
        <v>146</v>
      </c>
      <c r="AS19" t="s">
        <v>122</v>
      </c>
      <c r="AT19" t="s">
        <v>154</v>
      </c>
      <c r="AU19" t="s">
        <v>173</v>
      </c>
      <c r="AV19" t="s">
        <v>154</v>
      </c>
      <c r="AW19" t="s">
        <v>174</v>
      </c>
      <c r="AX19" t="s">
        <v>135</v>
      </c>
      <c r="AY19" t="s">
        <v>135</v>
      </c>
    </row>
    <row r="20" spans="1:56" ht="15" customHeight="1" x14ac:dyDescent="0.25">
      <c r="A20" t="s">
        <v>99</v>
      </c>
      <c r="B20" t="s">
        <v>133</v>
      </c>
      <c r="C20" t="s">
        <v>159</v>
      </c>
      <c r="D20" t="s">
        <v>142</v>
      </c>
      <c r="E20" t="s">
        <v>119</v>
      </c>
      <c r="F20" t="s">
        <v>98</v>
      </c>
      <c r="G20" t="s">
        <v>145</v>
      </c>
      <c r="H20" t="s">
        <v>154</v>
      </c>
      <c r="I20" t="s">
        <v>133</v>
      </c>
      <c r="J20" t="s">
        <v>145</v>
      </c>
      <c r="K20" t="s">
        <v>146</v>
      </c>
      <c r="L20" t="s">
        <v>132</v>
      </c>
      <c r="M20" t="s">
        <v>175</v>
      </c>
      <c r="N20" t="s">
        <v>100</v>
      </c>
      <c r="O20" t="s">
        <v>116</v>
      </c>
      <c r="P20" t="s">
        <v>138</v>
      </c>
      <c r="Q20" t="s">
        <v>130</v>
      </c>
      <c r="R20" t="s">
        <v>100</v>
      </c>
      <c r="S20" t="s">
        <v>156</v>
      </c>
      <c r="T20" t="s">
        <v>166</v>
      </c>
      <c r="U20" t="s">
        <v>153</v>
      </c>
      <c r="V20" t="s">
        <v>151</v>
      </c>
      <c r="W20" t="s">
        <v>130</v>
      </c>
      <c r="X20" t="s">
        <v>119</v>
      </c>
      <c r="Y20" t="s">
        <v>133</v>
      </c>
      <c r="Z20" t="s">
        <v>122</v>
      </c>
      <c r="AA20" t="s">
        <v>145</v>
      </c>
      <c r="AB20" t="s">
        <v>149</v>
      </c>
      <c r="AC20" t="s">
        <v>146</v>
      </c>
      <c r="AD20" t="s">
        <v>171</v>
      </c>
      <c r="AE20" t="s">
        <v>149</v>
      </c>
      <c r="AF20" t="s">
        <v>138</v>
      </c>
      <c r="AG20" t="s">
        <v>149</v>
      </c>
      <c r="AH20" t="s">
        <v>149</v>
      </c>
      <c r="AI20" t="s">
        <v>122</v>
      </c>
      <c r="AJ20" t="s">
        <v>154</v>
      </c>
      <c r="AK20" t="s">
        <v>154</v>
      </c>
      <c r="AL20" t="s">
        <v>135</v>
      </c>
      <c r="AM20" t="s">
        <v>154</v>
      </c>
      <c r="AN20" t="s">
        <v>154</v>
      </c>
      <c r="AO20" t="s">
        <v>130</v>
      </c>
      <c r="AP20" t="s">
        <v>156</v>
      </c>
      <c r="AQ20" t="s">
        <v>146</v>
      </c>
      <c r="AR20" t="s">
        <v>135</v>
      </c>
      <c r="AS20" t="s">
        <v>139</v>
      </c>
      <c r="AT20" t="s">
        <v>139</v>
      </c>
      <c r="AU20" t="s">
        <v>135</v>
      </c>
      <c r="AV20" t="s">
        <v>139</v>
      </c>
    </row>
    <row r="21" spans="1:56" ht="15" customHeight="1" x14ac:dyDescent="0.25">
      <c r="A21" t="s">
        <v>137</v>
      </c>
      <c r="B21" t="s">
        <v>175</v>
      </c>
      <c r="C21" t="s">
        <v>101</v>
      </c>
      <c r="D21" t="s">
        <v>137</v>
      </c>
      <c r="E21" t="s">
        <v>101</v>
      </c>
      <c r="F21" t="s">
        <v>137</v>
      </c>
      <c r="G21" t="s">
        <v>168</v>
      </c>
      <c r="H21" t="s">
        <v>116</v>
      </c>
      <c r="I21" t="s">
        <v>149</v>
      </c>
      <c r="J21" t="s">
        <v>116</v>
      </c>
      <c r="K21" t="s">
        <v>130</v>
      </c>
      <c r="L21" t="s">
        <v>100</v>
      </c>
      <c r="M21" t="s">
        <v>162</v>
      </c>
      <c r="N21" t="s">
        <v>145</v>
      </c>
      <c r="O21" t="s">
        <v>149</v>
      </c>
      <c r="P21" t="s">
        <v>154</v>
      </c>
      <c r="Q21" t="s">
        <v>167</v>
      </c>
      <c r="R21" t="s">
        <v>149</v>
      </c>
      <c r="S21" t="s">
        <v>176</v>
      </c>
      <c r="T21" t="s">
        <v>171</v>
      </c>
      <c r="U21" t="s">
        <v>166</v>
      </c>
      <c r="V21" t="s">
        <v>166</v>
      </c>
      <c r="W21" t="s">
        <v>135</v>
      </c>
      <c r="X21" t="s">
        <v>132</v>
      </c>
      <c r="Y21" t="s">
        <v>149</v>
      </c>
      <c r="Z21" t="s">
        <v>135</v>
      </c>
      <c r="AA21" t="s">
        <v>116</v>
      </c>
      <c r="AB21" t="s">
        <v>138</v>
      </c>
      <c r="AC21" t="s">
        <v>135</v>
      </c>
      <c r="AD21" t="s">
        <v>156</v>
      </c>
      <c r="AE21" t="s">
        <v>122</v>
      </c>
      <c r="AF21" t="s">
        <v>149</v>
      </c>
      <c r="AG21" t="s">
        <v>154</v>
      </c>
      <c r="AH21" t="s">
        <v>154</v>
      </c>
      <c r="AI21" t="s">
        <v>157</v>
      </c>
      <c r="AJ21" t="s">
        <v>139</v>
      </c>
      <c r="AK21" t="s">
        <v>146</v>
      </c>
      <c r="AL21" t="s">
        <v>172</v>
      </c>
      <c r="AM21" t="s">
        <v>146</v>
      </c>
      <c r="AN21" t="s">
        <v>139</v>
      </c>
    </row>
    <row r="22" spans="1:56" ht="15" customHeight="1" x14ac:dyDescent="0.25">
      <c r="A22" t="s">
        <v>131</v>
      </c>
      <c r="B22" t="s">
        <v>149</v>
      </c>
      <c r="C22" t="s">
        <v>141</v>
      </c>
      <c r="D22" t="s">
        <v>119</v>
      </c>
      <c r="E22" t="s">
        <v>148</v>
      </c>
      <c r="F22" t="s">
        <v>119</v>
      </c>
      <c r="G22" t="s">
        <v>170</v>
      </c>
      <c r="H22" t="s">
        <v>130</v>
      </c>
      <c r="I22" t="s">
        <v>154</v>
      </c>
      <c r="J22" t="s">
        <v>173</v>
      </c>
      <c r="K22" t="s">
        <v>172</v>
      </c>
      <c r="L22" t="s">
        <v>101</v>
      </c>
      <c r="M22" t="s">
        <v>116</v>
      </c>
      <c r="N22" t="s">
        <v>138</v>
      </c>
      <c r="O22" t="s">
        <v>168</v>
      </c>
      <c r="P22" t="s">
        <v>172</v>
      </c>
      <c r="Q22" t="s">
        <v>151</v>
      </c>
      <c r="R22" t="s">
        <v>116</v>
      </c>
      <c r="S22" t="s">
        <v>177</v>
      </c>
      <c r="T22" t="s">
        <v>156</v>
      </c>
      <c r="U22" t="s">
        <v>171</v>
      </c>
      <c r="V22" t="s">
        <v>171</v>
      </c>
      <c r="W22" t="s">
        <v>167</v>
      </c>
      <c r="X22" t="s">
        <v>133</v>
      </c>
      <c r="Y22" t="s">
        <v>138</v>
      </c>
      <c r="Z22" t="s">
        <v>143</v>
      </c>
      <c r="AA22" t="s">
        <v>155</v>
      </c>
      <c r="AB22" t="s">
        <v>122</v>
      </c>
      <c r="AC22" t="s">
        <v>153</v>
      </c>
      <c r="AD22" t="s">
        <v>158</v>
      </c>
      <c r="AE22" t="s">
        <v>139</v>
      </c>
      <c r="AF22" t="s">
        <v>154</v>
      </c>
      <c r="AG22" t="s">
        <v>139</v>
      </c>
      <c r="AH22" t="s">
        <v>139</v>
      </c>
      <c r="AI22" t="s">
        <v>139</v>
      </c>
      <c r="AJ22" t="s">
        <v>130</v>
      </c>
      <c r="AK22" t="s">
        <v>139</v>
      </c>
      <c r="AL22" t="s">
        <v>151</v>
      </c>
    </row>
    <row r="23" spans="1:56" ht="15" customHeight="1" x14ac:dyDescent="0.25">
      <c r="A23" t="s">
        <v>101</v>
      </c>
      <c r="B23" t="s">
        <v>162</v>
      </c>
      <c r="C23" t="s">
        <v>164</v>
      </c>
      <c r="D23" t="s">
        <v>132</v>
      </c>
      <c r="E23" t="s">
        <v>132</v>
      </c>
      <c r="F23" t="s">
        <v>131</v>
      </c>
      <c r="G23" t="s">
        <v>146</v>
      </c>
      <c r="H23" t="s">
        <v>135</v>
      </c>
      <c r="I23" t="s">
        <v>155</v>
      </c>
      <c r="J23" t="s">
        <v>154</v>
      </c>
      <c r="K23" t="s">
        <v>151</v>
      </c>
      <c r="L23" t="s">
        <v>133</v>
      </c>
      <c r="M23" t="s">
        <v>122</v>
      </c>
      <c r="N23" t="s">
        <v>149</v>
      </c>
      <c r="O23" t="s">
        <v>152</v>
      </c>
      <c r="P23" t="s">
        <v>151</v>
      </c>
      <c r="Q23" t="s">
        <v>166</v>
      </c>
      <c r="R23" t="s">
        <v>122</v>
      </c>
      <c r="S23" t="s">
        <v>178</v>
      </c>
      <c r="T23" t="s">
        <v>176</v>
      </c>
      <c r="U23" t="s">
        <v>176</v>
      </c>
      <c r="V23" t="s">
        <v>158</v>
      </c>
      <c r="W23" t="s">
        <v>151</v>
      </c>
      <c r="X23" t="s">
        <v>149</v>
      </c>
      <c r="Y23" t="s">
        <v>154</v>
      </c>
      <c r="Z23" t="s">
        <v>153</v>
      </c>
      <c r="AA23" t="s">
        <v>139</v>
      </c>
      <c r="AB23" t="s">
        <v>139</v>
      </c>
      <c r="AC23" t="s">
        <v>171</v>
      </c>
      <c r="AD23" t="s">
        <v>161</v>
      </c>
      <c r="AE23" t="s">
        <v>130</v>
      </c>
      <c r="AF23" t="s">
        <v>179</v>
      </c>
      <c r="AG23" t="s">
        <v>130</v>
      </c>
      <c r="AH23" t="s">
        <v>130</v>
      </c>
      <c r="AI23" t="s">
        <v>146</v>
      </c>
    </row>
    <row r="24" spans="1:56" ht="15" customHeight="1" x14ac:dyDescent="0.25">
      <c r="A24" t="s">
        <v>100</v>
      </c>
      <c r="B24" t="s">
        <v>141</v>
      </c>
      <c r="C24" t="s">
        <v>145</v>
      </c>
      <c r="D24" t="s">
        <v>133</v>
      </c>
      <c r="E24" t="s">
        <v>100</v>
      </c>
      <c r="F24" t="s">
        <v>101</v>
      </c>
      <c r="G24" t="s">
        <v>130</v>
      </c>
      <c r="H24" t="s">
        <v>167</v>
      </c>
      <c r="I24" t="s">
        <v>146</v>
      </c>
      <c r="J24" t="s">
        <v>130</v>
      </c>
      <c r="K24" t="s">
        <v>166</v>
      </c>
      <c r="L24" t="s">
        <v>175</v>
      </c>
      <c r="M24" t="s">
        <v>170</v>
      </c>
      <c r="N24" t="s">
        <v>122</v>
      </c>
      <c r="O24" t="s">
        <v>130</v>
      </c>
      <c r="P24" t="s">
        <v>166</v>
      </c>
      <c r="Q24" t="s">
        <v>156</v>
      </c>
      <c r="R24" t="s">
        <v>139</v>
      </c>
      <c r="S24" t="s">
        <v>180</v>
      </c>
      <c r="T24" t="s">
        <v>177</v>
      </c>
      <c r="U24" t="s">
        <v>177</v>
      </c>
      <c r="V24" t="s">
        <v>161</v>
      </c>
      <c r="W24" t="s">
        <v>166</v>
      </c>
      <c r="X24" t="s">
        <v>154</v>
      </c>
      <c r="Y24" t="s">
        <v>139</v>
      </c>
      <c r="Z24" t="s">
        <v>166</v>
      </c>
      <c r="AA24" t="s">
        <v>143</v>
      </c>
      <c r="AB24" t="s">
        <v>179</v>
      </c>
      <c r="AC24" t="s">
        <v>176</v>
      </c>
      <c r="AD24" t="s">
        <v>165</v>
      </c>
    </row>
    <row r="25" spans="1:56" ht="15" customHeight="1" x14ac:dyDescent="0.25">
      <c r="A25" t="s">
        <v>133</v>
      </c>
      <c r="B25" t="s">
        <v>116</v>
      </c>
      <c r="C25" t="s">
        <v>116</v>
      </c>
      <c r="D25" t="s">
        <v>145</v>
      </c>
      <c r="E25" t="s">
        <v>133</v>
      </c>
      <c r="F25" t="s">
        <v>132</v>
      </c>
      <c r="G25" t="s">
        <v>167</v>
      </c>
      <c r="H25" t="s">
        <v>151</v>
      </c>
      <c r="I25" t="s">
        <v>135</v>
      </c>
      <c r="J25" t="s">
        <v>135</v>
      </c>
      <c r="K25" t="s">
        <v>156</v>
      </c>
      <c r="L25" t="s">
        <v>149</v>
      </c>
      <c r="M25" t="s">
        <v>146</v>
      </c>
      <c r="N25" t="s">
        <v>154</v>
      </c>
      <c r="O25" t="s">
        <v>135</v>
      </c>
      <c r="P25" t="s">
        <v>176</v>
      </c>
      <c r="Q25" t="s">
        <v>177</v>
      </c>
      <c r="R25" t="s">
        <v>146</v>
      </c>
      <c r="S25" t="s">
        <v>181</v>
      </c>
      <c r="T25" t="s">
        <v>178</v>
      </c>
      <c r="U25" t="s">
        <v>178</v>
      </c>
      <c r="V25" t="s">
        <v>165</v>
      </c>
      <c r="W25" t="s">
        <v>156</v>
      </c>
      <c r="X25" t="s">
        <v>130</v>
      </c>
      <c r="Y25" t="s">
        <v>160</v>
      </c>
      <c r="Z25" t="s">
        <v>156</v>
      </c>
    </row>
    <row r="26" spans="1:56" ht="15.75" customHeight="1" x14ac:dyDescent="0.25">
      <c r="A26" t="s">
        <v>149</v>
      </c>
      <c r="B26" t="s">
        <v>157</v>
      </c>
      <c r="C26" t="s">
        <v>163</v>
      </c>
      <c r="D26" t="s">
        <v>149</v>
      </c>
      <c r="E26" t="s">
        <v>141</v>
      </c>
      <c r="F26" t="s">
        <v>133</v>
      </c>
      <c r="G26" t="s">
        <v>151</v>
      </c>
      <c r="H26" t="s">
        <v>153</v>
      </c>
      <c r="I26" t="s">
        <v>167</v>
      </c>
      <c r="J26" t="s">
        <v>167</v>
      </c>
      <c r="K26" t="s">
        <v>171</v>
      </c>
      <c r="L26" t="s">
        <v>162</v>
      </c>
      <c r="M26" t="s">
        <v>130</v>
      </c>
      <c r="N26" t="s">
        <v>139</v>
      </c>
      <c r="O26" t="s">
        <v>151</v>
      </c>
      <c r="P26" t="s">
        <v>178</v>
      </c>
      <c r="Q26" t="s">
        <v>178</v>
      </c>
      <c r="R26" t="s">
        <v>160</v>
      </c>
      <c r="S26" t="s">
        <v>169</v>
      </c>
      <c r="T26" t="s">
        <v>180</v>
      </c>
      <c r="U26" t="s">
        <v>180</v>
      </c>
      <c r="V26" t="s">
        <v>182</v>
      </c>
    </row>
    <row r="27" spans="1:56" ht="15" customHeight="1" x14ac:dyDescent="0.25">
      <c r="A27" t="s">
        <v>145</v>
      </c>
      <c r="B27" t="s">
        <v>154</v>
      </c>
      <c r="C27" t="s">
        <v>173</v>
      </c>
      <c r="D27" t="s">
        <v>122</v>
      </c>
      <c r="E27" t="s">
        <v>175</v>
      </c>
      <c r="F27" t="s">
        <v>122</v>
      </c>
      <c r="G27" t="s">
        <v>166</v>
      </c>
      <c r="H27" t="s">
        <v>171</v>
      </c>
      <c r="I27" t="s">
        <v>153</v>
      </c>
      <c r="J27" t="s">
        <v>151</v>
      </c>
      <c r="K27" t="s">
        <v>158</v>
      </c>
      <c r="L27" t="s">
        <v>168</v>
      </c>
      <c r="M27" t="s">
        <v>167</v>
      </c>
      <c r="N27" t="s">
        <v>146</v>
      </c>
      <c r="O27" t="s">
        <v>166</v>
      </c>
      <c r="P27" t="s">
        <v>161</v>
      </c>
      <c r="Q27" t="s">
        <v>180</v>
      </c>
      <c r="R27" t="s">
        <v>135</v>
      </c>
      <c r="S27" t="s">
        <v>174</v>
      </c>
      <c r="T27" t="s">
        <v>169</v>
      </c>
    </row>
    <row r="28" spans="1:56" ht="15" customHeight="1" x14ac:dyDescent="0.25">
      <c r="A28" t="s">
        <v>122</v>
      </c>
      <c r="B28" t="s">
        <v>139</v>
      </c>
      <c r="C28" t="s">
        <v>122</v>
      </c>
      <c r="D28" t="s">
        <v>179</v>
      </c>
      <c r="E28" t="s">
        <v>145</v>
      </c>
      <c r="F28" t="s">
        <v>139</v>
      </c>
      <c r="G28" t="s">
        <v>171</v>
      </c>
      <c r="H28" t="s">
        <v>176</v>
      </c>
      <c r="I28" t="s">
        <v>166</v>
      </c>
      <c r="J28" t="s">
        <v>153</v>
      </c>
      <c r="K28" t="s">
        <v>161</v>
      </c>
      <c r="L28" t="s">
        <v>139</v>
      </c>
      <c r="M28" t="s">
        <v>153</v>
      </c>
      <c r="N28" t="s">
        <v>160</v>
      </c>
      <c r="O28" t="s">
        <v>171</v>
      </c>
      <c r="P28" t="s">
        <v>165</v>
      </c>
    </row>
    <row r="29" spans="1:56" ht="15" customHeight="1" x14ac:dyDescent="0.25">
      <c r="A29" t="s">
        <v>155</v>
      </c>
      <c r="B29" t="s">
        <v>146</v>
      </c>
      <c r="C29" t="s">
        <v>146</v>
      </c>
      <c r="D29" t="s">
        <v>151</v>
      </c>
      <c r="E29" t="s">
        <v>116</v>
      </c>
      <c r="F29" t="s">
        <v>179</v>
      </c>
      <c r="G29" t="s">
        <v>156</v>
      </c>
      <c r="H29" t="s">
        <v>177</v>
      </c>
      <c r="I29" t="s">
        <v>171</v>
      </c>
      <c r="J29" t="s">
        <v>171</v>
      </c>
      <c r="K29" t="s">
        <v>165</v>
      </c>
      <c r="L29" t="s">
        <v>130</v>
      </c>
      <c r="M29" t="s">
        <v>171</v>
      </c>
      <c r="N29" t="s">
        <v>135</v>
      </c>
      <c r="O29" t="s">
        <v>176</v>
      </c>
      <c r="P29" t="s">
        <v>183</v>
      </c>
    </row>
    <row r="30" spans="1:56" ht="15" customHeight="1" x14ac:dyDescent="0.25">
      <c r="A30" t="s">
        <v>130</v>
      </c>
      <c r="B30" t="s">
        <v>130</v>
      </c>
      <c r="C30" t="s">
        <v>130</v>
      </c>
      <c r="D30" t="s">
        <v>153</v>
      </c>
      <c r="E30" t="s">
        <v>122</v>
      </c>
      <c r="F30" t="s">
        <v>146</v>
      </c>
      <c r="G30" t="s">
        <v>177</v>
      </c>
      <c r="H30" t="s">
        <v>178</v>
      </c>
      <c r="I30" t="s">
        <v>176</v>
      </c>
      <c r="J30" t="s">
        <v>158</v>
      </c>
      <c r="K30" t="s">
        <v>169</v>
      </c>
      <c r="L30" t="s">
        <v>135</v>
      </c>
      <c r="M30" t="s">
        <v>156</v>
      </c>
    </row>
    <row r="31" spans="1:56" ht="15" customHeight="1" x14ac:dyDescent="0.25">
      <c r="A31" t="s">
        <v>135</v>
      </c>
      <c r="B31" t="s">
        <v>135</v>
      </c>
      <c r="C31" t="s">
        <v>135</v>
      </c>
      <c r="D31" t="s">
        <v>166</v>
      </c>
      <c r="E31" t="s">
        <v>173</v>
      </c>
      <c r="F31" t="s">
        <v>143</v>
      </c>
      <c r="G31" t="s">
        <v>178</v>
      </c>
      <c r="H31" t="s">
        <v>180</v>
      </c>
      <c r="I31" t="s">
        <v>158</v>
      </c>
      <c r="J31" t="s">
        <v>161</v>
      </c>
      <c r="K31" t="s">
        <v>184</v>
      </c>
    </row>
    <row r="32" spans="1:56" ht="15" customHeight="1" x14ac:dyDescent="0.25">
      <c r="A32" t="s">
        <v>139</v>
      </c>
      <c r="B32" t="s">
        <v>143</v>
      </c>
      <c r="C32" t="s">
        <v>143</v>
      </c>
      <c r="D32" t="s">
        <v>158</v>
      </c>
      <c r="E32" t="s">
        <v>139</v>
      </c>
      <c r="F32" t="s">
        <v>151</v>
      </c>
      <c r="G32" t="s">
        <v>180</v>
      </c>
      <c r="H32" t="s">
        <v>182</v>
      </c>
      <c r="I32" t="s">
        <v>161</v>
      </c>
      <c r="J32" t="s">
        <v>165</v>
      </c>
    </row>
    <row r="33" spans="1:15" ht="15" customHeight="1" x14ac:dyDescent="0.25">
      <c r="A33" t="s">
        <v>151</v>
      </c>
      <c r="B33" t="s">
        <v>153</v>
      </c>
      <c r="C33" t="s">
        <v>153</v>
      </c>
      <c r="D33" t="s">
        <v>161</v>
      </c>
      <c r="E33" t="s">
        <v>146</v>
      </c>
      <c r="F33" t="s">
        <v>171</v>
      </c>
      <c r="G33" t="s">
        <v>181</v>
      </c>
      <c r="H33" t="s">
        <v>174</v>
      </c>
      <c r="I33" t="s">
        <v>165</v>
      </c>
      <c r="J33" t="s">
        <v>182</v>
      </c>
    </row>
    <row r="34" spans="1:15" ht="15" customHeight="1" x14ac:dyDescent="0.25">
      <c r="A34" t="s">
        <v>153</v>
      </c>
      <c r="B34" t="s">
        <v>171</v>
      </c>
      <c r="C34" t="s">
        <v>166</v>
      </c>
      <c r="D34" t="s">
        <v>165</v>
      </c>
      <c r="E34" t="s">
        <v>130</v>
      </c>
      <c r="F34" t="s">
        <v>153</v>
      </c>
      <c r="G34" t="s">
        <v>183</v>
      </c>
    </row>
    <row r="35" spans="1:15" ht="15" customHeight="1" x14ac:dyDescent="0.25">
      <c r="A35" t="s">
        <v>166</v>
      </c>
      <c r="B35" t="s">
        <v>177</v>
      </c>
      <c r="C35" t="s">
        <v>171</v>
      </c>
      <c r="D35" t="s">
        <v>181</v>
      </c>
      <c r="E35" t="s">
        <v>135</v>
      </c>
    </row>
    <row r="36" spans="1:15" ht="15" customHeight="1" x14ac:dyDescent="0.25">
      <c r="A36" t="s">
        <v>158</v>
      </c>
      <c r="B36" t="s">
        <v>178</v>
      </c>
      <c r="C36" t="s">
        <v>156</v>
      </c>
      <c r="D36" t="s">
        <v>183</v>
      </c>
    </row>
    <row r="37" spans="1:15" ht="15" customHeight="1" x14ac:dyDescent="0.25">
      <c r="A37" t="s">
        <v>177</v>
      </c>
      <c r="B37" t="s">
        <v>180</v>
      </c>
    </row>
    <row r="38" spans="1:15" ht="15" customHeight="1" x14ac:dyDescent="0.25">
      <c r="A38" t="s">
        <v>180</v>
      </c>
      <c r="B38" t="s">
        <v>182</v>
      </c>
      <c r="O38" t="s">
        <v>185</v>
      </c>
    </row>
    <row r="39" spans="1:15" ht="15" customHeight="1" x14ac:dyDescent="0.25">
      <c r="A39" t="s">
        <v>181</v>
      </c>
    </row>
    <row r="40" spans="1:15" ht="15" customHeight="1" x14ac:dyDescent="0.25">
      <c r="A40" t="s">
        <v>183</v>
      </c>
    </row>
    <row r="41" spans="1:15" ht="15" customHeight="1" x14ac:dyDescent="0.25">
      <c r="A41" t="s">
        <v>174</v>
      </c>
    </row>
    <row r="42" spans="1:15" ht="15" customHeight="1" x14ac:dyDescent="0.25"/>
    <row r="43" spans="1:15" ht="15" customHeight="1" x14ac:dyDescent="0.25"/>
    <row r="44" spans="1:15" ht="15" customHeight="1" x14ac:dyDescent="0.25"/>
    <row r="45" spans="1:15" ht="15" customHeight="1" x14ac:dyDescent="0.25"/>
    <row r="46" spans="1:15" ht="15" customHeight="1" x14ac:dyDescent="0.25"/>
    <row r="47" spans="1:15" ht="15" customHeight="1" x14ac:dyDescent="0.25"/>
    <row r="48" spans="1:1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Y42"/>
  <sheetViews>
    <sheetView zoomScaleNormal="100" workbookViewId="0">
      <selection activeCell="F25" sqref="F25"/>
    </sheetView>
  </sheetViews>
  <sheetFormatPr defaultRowHeight="14.45" customHeight="1" x14ac:dyDescent="0.25"/>
  <cols>
    <col min="1" max="1" width="14.5703125" customWidth="1"/>
    <col min="2" max="2" width="12.7109375" customWidth="1"/>
    <col min="3" max="3" width="10.5703125" customWidth="1"/>
    <col min="4" max="5" width="12" customWidth="1"/>
    <col min="6" max="6" width="17.42578125" customWidth="1"/>
    <col min="7" max="7" width="15.5703125" customWidth="1"/>
    <col min="8" max="8" width="16" customWidth="1"/>
    <col min="9" max="9" width="13" customWidth="1"/>
    <col min="10" max="10" width="13.7109375" customWidth="1"/>
    <col min="11" max="11" width="13.42578125" customWidth="1"/>
    <col min="13" max="13" width="19" customWidth="1"/>
    <col min="15" max="15" width="19.5703125" customWidth="1"/>
    <col min="16" max="16" width="20.42578125" customWidth="1"/>
    <col min="18" max="18" width="20.28515625" customWidth="1"/>
    <col min="19" max="19" width="15.85546875" customWidth="1"/>
    <col min="21" max="21" width="30.42578125" customWidth="1"/>
    <col min="24" max="24" width="17.42578125" customWidth="1"/>
    <col min="27" max="27" width="22.85546875" customWidth="1"/>
    <col min="31" max="31" width="19" customWidth="1"/>
    <col min="32" max="32" width="10.7109375" customWidth="1"/>
    <col min="35" max="35" width="13.7109375" customWidth="1"/>
    <col min="36" max="36" width="14.140625" customWidth="1"/>
    <col min="37" max="37" width="14.5703125" customWidth="1"/>
    <col min="40" max="40" width="15.5703125" customWidth="1"/>
    <col min="42" max="42" width="15.42578125" customWidth="1"/>
    <col min="43" max="43" width="23.28515625" customWidth="1"/>
    <col min="45" max="45" width="11.42578125" customWidth="1"/>
    <col min="47" max="47" width="12.85546875" customWidth="1"/>
    <col min="49" max="49" width="15.7109375" customWidth="1"/>
    <col min="50" max="50" width="14" customWidth="1"/>
    <col min="51" max="51" width="16.5703125" customWidth="1"/>
    <col min="54" max="54" width="12.140625" customWidth="1"/>
    <col min="58" max="58" width="28.5703125" customWidth="1"/>
    <col min="59" max="59" width="18.28515625" customWidth="1"/>
    <col min="60" max="60" width="13.140625" customWidth="1"/>
    <col min="61" max="61" width="11" customWidth="1"/>
    <col min="62" max="62" width="12.7109375" customWidth="1"/>
    <col min="66" max="66" width="13.85546875" customWidth="1"/>
    <col min="67" max="67" width="14.85546875" customWidth="1"/>
    <col min="68" max="68" width="15" customWidth="1"/>
    <col min="72" max="72" width="17.140625" customWidth="1"/>
    <col min="85" max="85" width="13.7109375" customWidth="1"/>
    <col min="87" max="87" width="17.28515625" customWidth="1"/>
  </cols>
  <sheetData>
    <row r="3" spans="1:103" ht="15" customHeight="1" x14ac:dyDescent="0.25">
      <c r="A3" t="s">
        <v>82</v>
      </c>
      <c r="B3" t="s">
        <v>83</v>
      </c>
      <c r="C3" t="s">
        <v>86</v>
      </c>
      <c r="D3" t="s">
        <v>84</v>
      </c>
      <c r="E3" t="s">
        <v>91</v>
      </c>
      <c r="F3" t="s">
        <v>107</v>
      </c>
      <c r="G3" t="s">
        <v>89</v>
      </c>
      <c r="H3" t="s">
        <v>92</v>
      </c>
      <c r="I3" t="s">
        <v>94</v>
      </c>
      <c r="J3" t="s">
        <v>85</v>
      </c>
      <c r="K3" t="s">
        <v>104</v>
      </c>
      <c r="L3" t="s">
        <v>93</v>
      </c>
      <c r="M3" t="s">
        <v>87</v>
      </c>
      <c r="N3" t="s">
        <v>96</v>
      </c>
      <c r="O3" t="s">
        <v>88</v>
      </c>
      <c r="P3" t="s">
        <v>120</v>
      </c>
      <c r="Q3" t="s">
        <v>102</v>
      </c>
      <c r="R3" t="s">
        <v>105</v>
      </c>
      <c r="S3" t="s">
        <v>109</v>
      </c>
      <c r="T3" t="s">
        <v>95</v>
      </c>
      <c r="U3" t="s">
        <v>97</v>
      </c>
      <c r="V3" t="s">
        <v>103</v>
      </c>
      <c r="W3" t="s">
        <v>108</v>
      </c>
      <c r="X3" t="s">
        <v>123</v>
      </c>
      <c r="Y3" t="s">
        <v>110</v>
      </c>
      <c r="Z3" t="s">
        <v>127</v>
      </c>
      <c r="AA3" t="s">
        <v>112</v>
      </c>
      <c r="AB3" t="s">
        <v>90</v>
      </c>
      <c r="AC3" t="s">
        <v>113</v>
      </c>
      <c r="AD3" t="s">
        <v>140</v>
      </c>
      <c r="AE3" t="s">
        <v>118</v>
      </c>
      <c r="AF3" t="s">
        <v>134</v>
      </c>
      <c r="AG3" t="s">
        <v>121</v>
      </c>
      <c r="AH3" t="s">
        <v>111</v>
      </c>
      <c r="AI3" t="s">
        <v>129</v>
      </c>
      <c r="AJ3" t="s">
        <v>106</v>
      </c>
      <c r="AK3" t="s">
        <v>128</v>
      </c>
      <c r="AL3" t="s">
        <v>117</v>
      </c>
      <c r="AM3" t="s">
        <v>98</v>
      </c>
      <c r="AN3" t="s">
        <v>142</v>
      </c>
      <c r="AO3" t="s">
        <v>124</v>
      </c>
      <c r="AP3" t="s">
        <v>126</v>
      </c>
      <c r="AQ3" t="s">
        <v>114</v>
      </c>
      <c r="AR3" t="s">
        <v>136</v>
      </c>
      <c r="AS3" t="s">
        <v>125</v>
      </c>
      <c r="AT3" t="s">
        <v>147</v>
      </c>
      <c r="AU3" t="s">
        <v>144</v>
      </c>
      <c r="AV3" t="s">
        <v>99</v>
      </c>
      <c r="AW3" t="s">
        <v>150</v>
      </c>
      <c r="AX3" t="s">
        <v>115</v>
      </c>
      <c r="AY3" t="s">
        <v>101</v>
      </c>
      <c r="AZ3" t="s">
        <v>137</v>
      </c>
      <c r="BA3" t="s">
        <v>119</v>
      </c>
      <c r="BB3" t="s">
        <v>131</v>
      </c>
      <c r="BC3" t="s">
        <v>148</v>
      </c>
      <c r="BD3" t="s">
        <v>132</v>
      </c>
      <c r="BE3" t="s">
        <v>133</v>
      </c>
      <c r="BF3" t="s">
        <v>100</v>
      </c>
      <c r="BG3" t="s">
        <v>159</v>
      </c>
      <c r="BH3" t="s">
        <v>141</v>
      </c>
      <c r="BI3" t="s">
        <v>175</v>
      </c>
      <c r="BJ3" t="s">
        <v>164</v>
      </c>
      <c r="BK3" t="s">
        <v>149</v>
      </c>
      <c r="BL3" t="s">
        <v>162</v>
      </c>
      <c r="BM3" t="s">
        <v>145</v>
      </c>
      <c r="BN3" t="s">
        <v>138</v>
      </c>
      <c r="BO3" t="s">
        <v>116</v>
      </c>
      <c r="BP3" t="s">
        <v>163</v>
      </c>
      <c r="BQ3" t="s">
        <v>168</v>
      </c>
      <c r="BR3" t="s">
        <v>122</v>
      </c>
      <c r="BS3" t="s">
        <v>154</v>
      </c>
      <c r="BT3" t="s">
        <v>157</v>
      </c>
      <c r="BU3" t="s">
        <v>173</v>
      </c>
      <c r="BV3" t="s">
        <v>152</v>
      </c>
      <c r="BW3" t="s">
        <v>155</v>
      </c>
      <c r="BX3" t="s">
        <v>170</v>
      </c>
      <c r="BY3" t="s">
        <v>139</v>
      </c>
      <c r="BZ3" t="s">
        <v>146</v>
      </c>
      <c r="CA3" t="s">
        <v>179</v>
      </c>
      <c r="CB3" t="s">
        <v>160</v>
      </c>
      <c r="CC3" t="s">
        <v>130</v>
      </c>
      <c r="CD3" t="s">
        <v>135</v>
      </c>
      <c r="CE3" t="s">
        <v>167</v>
      </c>
      <c r="CF3" t="s">
        <v>143</v>
      </c>
      <c r="CG3" t="s">
        <v>172</v>
      </c>
      <c r="CH3" t="s">
        <v>151</v>
      </c>
      <c r="CI3" t="s">
        <v>153</v>
      </c>
      <c r="CJ3" t="s">
        <v>166</v>
      </c>
      <c r="CK3" t="s">
        <v>171</v>
      </c>
      <c r="CL3" t="s">
        <v>156</v>
      </c>
      <c r="CM3" t="s">
        <v>176</v>
      </c>
      <c r="CN3" t="s">
        <v>177</v>
      </c>
      <c r="CO3" t="s">
        <v>158</v>
      </c>
      <c r="CP3" t="s">
        <v>178</v>
      </c>
      <c r="CQ3" t="s">
        <v>161</v>
      </c>
      <c r="CR3" t="s">
        <v>180</v>
      </c>
      <c r="CS3" t="s">
        <v>165</v>
      </c>
      <c r="CT3" t="s">
        <v>181</v>
      </c>
      <c r="CU3" t="s">
        <v>182</v>
      </c>
      <c r="CV3" t="s">
        <v>169</v>
      </c>
      <c r="CW3" t="s">
        <v>183</v>
      </c>
      <c r="CX3" t="s">
        <v>174</v>
      </c>
      <c r="CY3" t="s">
        <v>184</v>
      </c>
    </row>
    <row r="4" spans="1:103" ht="15" customHeight="1" x14ac:dyDescent="0.25">
      <c r="A4" t="s">
        <v>27</v>
      </c>
      <c r="B4" t="s">
        <v>61</v>
      </c>
      <c r="C4" t="s">
        <v>7</v>
      </c>
      <c r="D4" t="s">
        <v>16</v>
      </c>
      <c r="E4" t="s">
        <v>39</v>
      </c>
      <c r="F4" t="s">
        <v>28</v>
      </c>
      <c r="G4" t="s">
        <v>40</v>
      </c>
      <c r="H4" t="s">
        <v>8</v>
      </c>
      <c r="I4" t="s">
        <v>16</v>
      </c>
      <c r="J4" t="s">
        <v>54</v>
      </c>
      <c r="K4" t="s">
        <v>45</v>
      </c>
      <c r="L4" t="s">
        <v>4</v>
      </c>
      <c r="M4" t="s">
        <v>14</v>
      </c>
      <c r="N4" t="s">
        <v>16</v>
      </c>
      <c r="O4" t="s">
        <v>30</v>
      </c>
      <c r="P4" t="s">
        <v>3</v>
      </c>
      <c r="Q4" t="s">
        <v>30</v>
      </c>
      <c r="R4" t="s">
        <v>3</v>
      </c>
      <c r="S4" t="s">
        <v>61</v>
      </c>
      <c r="T4" t="s">
        <v>10</v>
      </c>
      <c r="U4" t="s">
        <v>2</v>
      </c>
      <c r="V4" t="s">
        <v>62</v>
      </c>
      <c r="W4" t="s">
        <v>1</v>
      </c>
      <c r="X4" t="s">
        <v>4</v>
      </c>
      <c r="Y4" t="s">
        <v>28</v>
      </c>
      <c r="Z4" t="s">
        <v>27</v>
      </c>
      <c r="AA4" t="s">
        <v>57</v>
      </c>
      <c r="AB4" t="s">
        <v>16</v>
      </c>
      <c r="AC4" t="s">
        <v>40</v>
      </c>
      <c r="AD4" t="s">
        <v>17</v>
      </c>
      <c r="AE4" t="s">
        <v>7</v>
      </c>
      <c r="AF4" t="s">
        <v>17</v>
      </c>
      <c r="AG4" t="s">
        <v>1</v>
      </c>
      <c r="AH4" t="s">
        <v>54</v>
      </c>
      <c r="AI4" t="s">
        <v>3</v>
      </c>
      <c r="AJ4" t="s">
        <v>54</v>
      </c>
      <c r="AK4" t="s">
        <v>28</v>
      </c>
      <c r="AL4" t="s">
        <v>16</v>
      </c>
      <c r="AM4" t="s">
        <v>1</v>
      </c>
      <c r="AN4" t="s">
        <v>3</v>
      </c>
      <c r="AO4" t="s">
        <v>40</v>
      </c>
      <c r="AP4" t="s">
        <v>27</v>
      </c>
      <c r="AQ4" t="s">
        <v>14</v>
      </c>
      <c r="AR4" t="s">
        <v>7</v>
      </c>
      <c r="AS4" t="s">
        <v>43</v>
      </c>
      <c r="AT4" t="s">
        <v>17</v>
      </c>
      <c r="AU4" t="s">
        <v>56</v>
      </c>
      <c r="AV4" t="s">
        <v>54</v>
      </c>
      <c r="AW4" t="s">
        <v>1</v>
      </c>
      <c r="AX4" t="s">
        <v>40</v>
      </c>
      <c r="AY4" t="s">
        <v>7</v>
      </c>
      <c r="AZ4" t="s">
        <v>14</v>
      </c>
      <c r="BA4" t="s">
        <v>57</v>
      </c>
      <c r="BB4" t="s">
        <v>56</v>
      </c>
      <c r="BC4" t="s">
        <v>4</v>
      </c>
      <c r="BD4" t="s">
        <v>1</v>
      </c>
      <c r="BE4" t="s">
        <v>10</v>
      </c>
      <c r="BF4" t="s">
        <v>62</v>
      </c>
      <c r="BG4" t="s">
        <v>14</v>
      </c>
      <c r="BH4" t="s">
        <v>2</v>
      </c>
      <c r="BI4" t="s">
        <v>1</v>
      </c>
      <c r="BJ4" t="s">
        <v>2</v>
      </c>
      <c r="BK4" t="s">
        <v>30</v>
      </c>
      <c r="BL4" t="s">
        <v>1</v>
      </c>
      <c r="BM4" t="s">
        <v>28</v>
      </c>
      <c r="BN4" t="s">
        <v>7</v>
      </c>
      <c r="BO4" t="s">
        <v>54</v>
      </c>
      <c r="BP4" t="s">
        <v>40</v>
      </c>
      <c r="BQ4" t="s">
        <v>14</v>
      </c>
      <c r="BR4" t="s">
        <v>57</v>
      </c>
      <c r="BS4" t="s">
        <v>54</v>
      </c>
      <c r="BT4" t="s">
        <v>10</v>
      </c>
      <c r="BU4" t="s">
        <v>2</v>
      </c>
      <c r="BV4" t="s">
        <v>14</v>
      </c>
      <c r="BW4" t="s">
        <v>8</v>
      </c>
      <c r="BX4" t="s">
        <v>6</v>
      </c>
      <c r="BY4" t="s">
        <v>57</v>
      </c>
      <c r="BZ4" t="s">
        <v>10</v>
      </c>
      <c r="CA4" t="s">
        <v>27</v>
      </c>
      <c r="CB4" t="s">
        <v>17</v>
      </c>
      <c r="CC4" t="s">
        <v>32</v>
      </c>
      <c r="CD4" t="s">
        <v>50</v>
      </c>
      <c r="CE4" t="s">
        <v>16</v>
      </c>
      <c r="CF4" t="s">
        <v>1</v>
      </c>
      <c r="CG4" t="s">
        <v>10</v>
      </c>
      <c r="CH4" t="s">
        <v>14</v>
      </c>
      <c r="CI4" t="s">
        <v>3</v>
      </c>
      <c r="CJ4" t="s">
        <v>14</v>
      </c>
      <c r="CK4" t="s">
        <v>7</v>
      </c>
      <c r="CL4" t="s">
        <v>16</v>
      </c>
      <c r="CM4" t="s">
        <v>28</v>
      </c>
      <c r="CN4" t="s">
        <v>16</v>
      </c>
      <c r="CO4" t="s">
        <v>10</v>
      </c>
      <c r="CP4" t="s">
        <v>16</v>
      </c>
      <c r="CQ4" t="s">
        <v>3</v>
      </c>
      <c r="CR4" t="s">
        <v>7</v>
      </c>
      <c r="CS4" t="s">
        <v>8</v>
      </c>
      <c r="CT4" t="s">
        <v>3</v>
      </c>
      <c r="CU4" t="s">
        <v>7</v>
      </c>
      <c r="CV4" t="s">
        <v>10</v>
      </c>
      <c r="CW4" t="s">
        <v>3</v>
      </c>
      <c r="CX4" t="s">
        <v>7</v>
      </c>
      <c r="CY4" t="s">
        <v>10</v>
      </c>
    </row>
    <row r="5" spans="1:103" ht="15" customHeight="1" x14ac:dyDescent="0.25">
      <c r="A5" t="s">
        <v>65</v>
      </c>
      <c r="B5" t="s">
        <v>4</v>
      </c>
      <c r="C5" t="s">
        <v>14</v>
      </c>
      <c r="D5" t="s">
        <v>25</v>
      </c>
      <c r="E5" t="s">
        <v>24</v>
      </c>
      <c r="F5" t="s">
        <v>40</v>
      </c>
      <c r="G5" t="s">
        <v>62</v>
      </c>
      <c r="H5" t="s">
        <v>4</v>
      </c>
      <c r="I5" t="s">
        <v>43</v>
      </c>
      <c r="J5" t="s">
        <v>6</v>
      </c>
      <c r="K5" t="s">
        <v>50</v>
      </c>
      <c r="L5" t="s">
        <v>24</v>
      </c>
      <c r="M5" t="s">
        <v>3</v>
      </c>
      <c r="N5" t="s">
        <v>40</v>
      </c>
      <c r="O5" t="s">
        <v>53</v>
      </c>
      <c r="P5" t="s">
        <v>8</v>
      </c>
      <c r="Q5" t="s">
        <v>39</v>
      </c>
      <c r="R5" t="s">
        <v>4</v>
      </c>
      <c r="S5" t="s">
        <v>4</v>
      </c>
      <c r="T5" t="s">
        <v>60</v>
      </c>
      <c r="U5" t="s">
        <v>36</v>
      </c>
      <c r="V5" t="s">
        <v>64</v>
      </c>
      <c r="W5" t="s">
        <v>8</v>
      </c>
      <c r="X5" t="s">
        <v>50</v>
      </c>
      <c r="Y5" t="s">
        <v>14</v>
      </c>
      <c r="Z5" t="s">
        <v>25</v>
      </c>
      <c r="AA5" t="s">
        <v>36</v>
      </c>
      <c r="AB5" t="s">
        <v>2</v>
      </c>
      <c r="AC5" t="s">
        <v>69</v>
      </c>
      <c r="AD5" t="s">
        <v>4</v>
      </c>
      <c r="AE5" t="s">
        <v>2</v>
      </c>
      <c r="AF5" t="s">
        <v>8</v>
      </c>
      <c r="AG5" t="s">
        <v>6</v>
      </c>
      <c r="AH5" t="s">
        <v>36</v>
      </c>
      <c r="AI5" t="s">
        <v>24</v>
      </c>
      <c r="AJ5" t="s">
        <v>2</v>
      </c>
      <c r="AK5" t="s">
        <v>71</v>
      </c>
      <c r="AL5" t="s">
        <v>14</v>
      </c>
      <c r="AM5" t="s">
        <v>50</v>
      </c>
      <c r="AN5" t="s">
        <v>39</v>
      </c>
      <c r="AO5" t="s">
        <v>71</v>
      </c>
      <c r="AP5" t="s">
        <v>6</v>
      </c>
      <c r="AQ5" t="s">
        <v>43</v>
      </c>
      <c r="AR5" t="s">
        <v>36</v>
      </c>
      <c r="AS5" t="s">
        <v>37</v>
      </c>
      <c r="AT5" t="s">
        <v>4</v>
      </c>
      <c r="AU5" t="s">
        <v>3</v>
      </c>
      <c r="AV5" t="s">
        <v>37</v>
      </c>
      <c r="AW5" t="s">
        <v>39</v>
      </c>
      <c r="AX5" t="s">
        <v>60</v>
      </c>
      <c r="AY5" t="s">
        <v>36</v>
      </c>
      <c r="AZ5" t="s">
        <v>2</v>
      </c>
      <c r="BA5" t="s">
        <v>54</v>
      </c>
      <c r="BB5" t="s">
        <v>1</v>
      </c>
      <c r="BC5" t="s">
        <v>6</v>
      </c>
      <c r="BD5" t="s">
        <v>4</v>
      </c>
      <c r="BE5" t="s">
        <v>37</v>
      </c>
      <c r="BF5" t="s">
        <v>8</v>
      </c>
      <c r="BG5" t="s">
        <v>2</v>
      </c>
      <c r="BH5" t="s">
        <v>4</v>
      </c>
      <c r="BI5" t="s">
        <v>4</v>
      </c>
      <c r="BJ5" t="s">
        <v>6</v>
      </c>
      <c r="BK5" t="s">
        <v>28</v>
      </c>
      <c r="BL5" t="s">
        <v>50</v>
      </c>
      <c r="BM5" t="s">
        <v>10</v>
      </c>
      <c r="BN5" t="s">
        <v>40</v>
      </c>
      <c r="BO5" t="s">
        <v>36</v>
      </c>
      <c r="BP5" t="s">
        <v>2</v>
      </c>
      <c r="BQ5" t="s">
        <v>6</v>
      </c>
      <c r="BR5" t="s">
        <v>37</v>
      </c>
      <c r="BS5" t="s">
        <v>8</v>
      </c>
      <c r="BT5" t="s">
        <v>1</v>
      </c>
      <c r="BU5" t="s">
        <v>4</v>
      </c>
      <c r="BV5" t="s">
        <v>60</v>
      </c>
      <c r="BW5" t="s">
        <v>65</v>
      </c>
      <c r="BX5" t="s">
        <v>50</v>
      </c>
      <c r="BY5" t="s">
        <v>36</v>
      </c>
      <c r="BZ5" t="s">
        <v>37</v>
      </c>
      <c r="CA5" t="s">
        <v>3</v>
      </c>
      <c r="CB5" t="s">
        <v>24</v>
      </c>
      <c r="CC5" t="s">
        <v>6</v>
      </c>
      <c r="CD5" t="s">
        <v>25</v>
      </c>
      <c r="CE5" t="s">
        <v>7</v>
      </c>
      <c r="CF5" t="s">
        <v>25</v>
      </c>
      <c r="CG5" t="s">
        <v>37</v>
      </c>
      <c r="CH5" t="s">
        <v>3</v>
      </c>
      <c r="CI5" t="s">
        <v>2</v>
      </c>
      <c r="CJ5" t="s">
        <v>6</v>
      </c>
      <c r="CK5" t="s">
        <v>10</v>
      </c>
      <c r="CL5" t="s">
        <v>10</v>
      </c>
      <c r="CM5" t="s">
        <v>7</v>
      </c>
      <c r="CN5" t="s">
        <v>7</v>
      </c>
      <c r="CO5" t="s">
        <v>48</v>
      </c>
      <c r="CP5" t="s">
        <v>7</v>
      </c>
      <c r="CQ5" t="s">
        <v>48</v>
      </c>
      <c r="CR5" t="s">
        <v>1</v>
      </c>
      <c r="CS5" t="s">
        <v>48</v>
      </c>
      <c r="CT5" t="s">
        <v>6</v>
      </c>
      <c r="CU5" t="s">
        <v>1</v>
      </c>
      <c r="CV5" t="s">
        <v>48</v>
      </c>
      <c r="CW5" t="s">
        <v>6</v>
      </c>
      <c r="CX5" t="s">
        <v>48</v>
      </c>
      <c r="CY5" t="s">
        <v>1</v>
      </c>
    </row>
    <row r="6" spans="1:103" ht="15" customHeight="1" x14ac:dyDescent="0.25">
      <c r="A6" t="s">
        <v>38</v>
      </c>
      <c r="B6" t="s">
        <v>70</v>
      </c>
      <c r="C6" t="s">
        <v>20</v>
      </c>
      <c r="D6" t="s">
        <v>22</v>
      </c>
      <c r="E6" t="s">
        <v>23</v>
      </c>
      <c r="F6" t="s">
        <v>70</v>
      </c>
      <c r="G6" t="s">
        <v>20</v>
      </c>
      <c r="H6" t="s">
        <v>5</v>
      </c>
      <c r="I6" t="s">
        <v>38</v>
      </c>
      <c r="J6" t="s">
        <v>29</v>
      </c>
      <c r="K6" t="s">
        <v>0</v>
      </c>
      <c r="L6" t="s">
        <v>18</v>
      </c>
      <c r="M6" t="s">
        <v>13</v>
      </c>
      <c r="N6" t="s">
        <v>63</v>
      </c>
      <c r="O6" t="s">
        <v>33</v>
      </c>
      <c r="P6" t="s">
        <v>5</v>
      </c>
      <c r="Q6" t="s">
        <v>35</v>
      </c>
      <c r="R6" t="s">
        <v>42</v>
      </c>
      <c r="S6" t="s">
        <v>38</v>
      </c>
      <c r="T6" t="s">
        <v>75</v>
      </c>
      <c r="U6" t="s">
        <v>63</v>
      </c>
      <c r="V6" t="s">
        <v>59</v>
      </c>
      <c r="W6" t="s">
        <v>18</v>
      </c>
      <c r="X6" t="s">
        <v>11</v>
      </c>
      <c r="Y6" t="s">
        <v>22</v>
      </c>
      <c r="Z6" t="s">
        <v>33</v>
      </c>
      <c r="AA6" t="s">
        <v>22</v>
      </c>
      <c r="AB6" t="s">
        <v>41</v>
      </c>
      <c r="AC6" t="s">
        <v>20</v>
      </c>
      <c r="AD6" t="s">
        <v>31</v>
      </c>
      <c r="AE6" t="s">
        <v>58</v>
      </c>
      <c r="AF6" t="s">
        <v>0</v>
      </c>
      <c r="AG6" t="s">
        <v>29</v>
      </c>
      <c r="AH6" t="s">
        <v>74</v>
      </c>
      <c r="AI6" t="s">
        <v>5</v>
      </c>
      <c r="AJ6" t="s">
        <v>19</v>
      </c>
      <c r="AK6" t="s">
        <v>29</v>
      </c>
      <c r="AL6" t="s">
        <v>41</v>
      </c>
      <c r="AM6" t="s">
        <v>13</v>
      </c>
      <c r="AN6" t="s">
        <v>23</v>
      </c>
      <c r="AO6" t="s">
        <v>49</v>
      </c>
      <c r="AP6" t="s">
        <v>18</v>
      </c>
      <c r="AQ6" t="s">
        <v>42</v>
      </c>
      <c r="AR6" t="s">
        <v>58</v>
      </c>
      <c r="AS6" t="s">
        <v>38</v>
      </c>
      <c r="AT6" t="s">
        <v>42</v>
      </c>
      <c r="AU6" t="s">
        <v>31</v>
      </c>
      <c r="AV6" t="s">
        <v>74</v>
      </c>
      <c r="AW6" t="s">
        <v>11</v>
      </c>
      <c r="AX6" t="s">
        <v>22</v>
      </c>
      <c r="AY6" t="s">
        <v>22</v>
      </c>
      <c r="AZ6" t="s">
        <v>29</v>
      </c>
      <c r="BA6" t="s">
        <v>63</v>
      </c>
      <c r="BB6" t="s">
        <v>26</v>
      </c>
      <c r="BC6" t="s">
        <v>18</v>
      </c>
      <c r="BD6" t="s">
        <v>11</v>
      </c>
      <c r="BE6" t="s">
        <v>49</v>
      </c>
      <c r="BF6" t="s">
        <v>13</v>
      </c>
      <c r="BG6" t="s">
        <v>9</v>
      </c>
      <c r="BH6" t="s">
        <v>9</v>
      </c>
      <c r="BI6" t="s">
        <v>11</v>
      </c>
      <c r="BJ6" t="s">
        <v>42</v>
      </c>
      <c r="BK6" t="s">
        <v>18</v>
      </c>
      <c r="BL6" t="s">
        <v>11</v>
      </c>
      <c r="BM6" t="s">
        <v>55</v>
      </c>
      <c r="BN6" t="s">
        <v>22</v>
      </c>
      <c r="BO6" t="s">
        <v>38</v>
      </c>
      <c r="BP6" t="s">
        <v>22</v>
      </c>
      <c r="BQ6" t="s">
        <v>42</v>
      </c>
      <c r="BR6" t="s">
        <v>41</v>
      </c>
      <c r="BS6" t="s">
        <v>33</v>
      </c>
      <c r="BT6" t="s">
        <v>34</v>
      </c>
      <c r="BU6" t="s">
        <v>9</v>
      </c>
      <c r="BV6" t="s">
        <v>66</v>
      </c>
      <c r="BW6" t="s">
        <v>0</v>
      </c>
      <c r="BX6" t="s">
        <v>42</v>
      </c>
      <c r="BY6" t="s">
        <v>59</v>
      </c>
      <c r="BZ6" t="s">
        <v>55</v>
      </c>
      <c r="CA6" t="s">
        <v>31</v>
      </c>
      <c r="CB6" t="s">
        <v>13</v>
      </c>
      <c r="CC6" t="s">
        <v>35</v>
      </c>
      <c r="CD6" t="s">
        <v>0</v>
      </c>
      <c r="CE6" t="s">
        <v>22</v>
      </c>
      <c r="CF6" t="s">
        <v>5</v>
      </c>
      <c r="CG6" t="s">
        <v>15</v>
      </c>
      <c r="CH6" t="s">
        <v>0</v>
      </c>
      <c r="CI6" t="s">
        <v>5</v>
      </c>
      <c r="CJ6" t="s">
        <v>15</v>
      </c>
      <c r="CK6" t="s">
        <v>20</v>
      </c>
      <c r="CL6" t="s">
        <v>41</v>
      </c>
      <c r="CM6" t="s">
        <v>20</v>
      </c>
      <c r="CN6" t="s">
        <v>20</v>
      </c>
      <c r="CO6" t="s">
        <v>9</v>
      </c>
      <c r="CP6" t="s">
        <v>20</v>
      </c>
      <c r="CQ6" t="s">
        <v>29</v>
      </c>
      <c r="CR6" t="s">
        <v>0</v>
      </c>
      <c r="CS6" t="s">
        <v>29</v>
      </c>
      <c r="CT6" t="s">
        <v>0</v>
      </c>
      <c r="CU6" t="s">
        <v>9</v>
      </c>
      <c r="CV6" t="s">
        <v>18</v>
      </c>
      <c r="CW6" t="s">
        <v>0</v>
      </c>
      <c r="CX6" t="s">
        <v>0</v>
      </c>
      <c r="CY6" t="s">
        <v>19</v>
      </c>
    </row>
    <row r="7" spans="1:103" ht="15" customHeight="1" x14ac:dyDescent="0.25">
      <c r="A7" t="s">
        <v>51</v>
      </c>
      <c r="B7" t="s">
        <v>49</v>
      </c>
      <c r="C7" t="s">
        <v>58</v>
      </c>
      <c r="D7" t="s">
        <v>33</v>
      </c>
      <c r="E7" t="s">
        <v>0</v>
      </c>
      <c r="F7" t="s">
        <v>67</v>
      </c>
      <c r="G7" t="s">
        <v>74</v>
      </c>
      <c r="H7" t="s">
        <v>23</v>
      </c>
      <c r="I7" t="s">
        <v>34</v>
      </c>
      <c r="J7" t="s">
        <v>34</v>
      </c>
      <c r="K7" t="s">
        <v>11</v>
      </c>
      <c r="L7" t="s">
        <v>11</v>
      </c>
      <c r="M7" t="s">
        <v>29</v>
      </c>
      <c r="N7" t="s">
        <v>34</v>
      </c>
      <c r="O7" t="s">
        <v>35</v>
      </c>
      <c r="P7" t="s">
        <v>0</v>
      </c>
      <c r="Q7" t="s">
        <v>51</v>
      </c>
      <c r="R7" t="s">
        <v>12</v>
      </c>
      <c r="S7" t="s">
        <v>73</v>
      </c>
      <c r="T7" t="s">
        <v>68</v>
      </c>
      <c r="U7" t="s">
        <v>66</v>
      </c>
      <c r="V7" t="s">
        <v>46</v>
      </c>
      <c r="W7" t="s">
        <v>12</v>
      </c>
      <c r="X7" t="s">
        <v>68</v>
      </c>
      <c r="Y7" t="s">
        <v>9</v>
      </c>
      <c r="Z7" t="s">
        <v>26</v>
      </c>
      <c r="AA7" t="s">
        <v>66</v>
      </c>
      <c r="AB7" t="s">
        <v>9</v>
      </c>
      <c r="AC7" t="s">
        <v>66</v>
      </c>
      <c r="AD7" t="s">
        <v>11</v>
      </c>
      <c r="AE7" t="s">
        <v>63</v>
      </c>
      <c r="AF7" t="s">
        <v>47</v>
      </c>
      <c r="AG7" t="s">
        <v>11</v>
      </c>
      <c r="AH7" t="s">
        <v>34</v>
      </c>
      <c r="AI7" t="s">
        <v>44</v>
      </c>
      <c r="AJ7" t="s">
        <v>46</v>
      </c>
      <c r="AK7" t="s">
        <v>68</v>
      </c>
      <c r="AL7" t="s">
        <v>66</v>
      </c>
      <c r="AM7" t="s">
        <v>0</v>
      </c>
      <c r="AN7" t="s">
        <v>51</v>
      </c>
      <c r="AO7" t="s">
        <v>63</v>
      </c>
      <c r="AP7" t="s">
        <v>11</v>
      </c>
      <c r="AQ7" t="s">
        <v>15</v>
      </c>
      <c r="AR7" t="s">
        <v>52</v>
      </c>
      <c r="AS7" t="s">
        <v>15</v>
      </c>
      <c r="AT7" t="s">
        <v>12</v>
      </c>
      <c r="AU7" t="s">
        <v>0</v>
      </c>
      <c r="AV7" t="s">
        <v>49</v>
      </c>
      <c r="AW7" t="s">
        <v>51</v>
      </c>
      <c r="AX7" t="s">
        <v>59</v>
      </c>
      <c r="AY7" t="s">
        <v>19</v>
      </c>
      <c r="AZ7" t="s">
        <v>66</v>
      </c>
      <c r="BA7" t="s">
        <v>34</v>
      </c>
      <c r="BB7" t="s">
        <v>12</v>
      </c>
      <c r="BC7" t="s">
        <v>9</v>
      </c>
      <c r="BD7" t="s">
        <v>9</v>
      </c>
      <c r="BE7" t="s">
        <v>21</v>
      </c>
      <c r="BF7" t="s">
        <v>59</v>
      </c>
      <c r="BG7" t="s">
        <v>34</v>
      </c>
      <c r="BH7" t="s">
        <v>46</v>
      </c>
      <c r="BI7" t="s">
        <v>12</v>
      </c>
      <c r="BJ7" t="s">
        <v>15</v>
      </c>
      <c r="BK7" t="s">
        <v>52</v>
      </c>
      <c r="BL7" t="s">
        <v>12</v>
      </c>
      <c r="BM7" t="s">
        <v>34</v>
      </c>
      <c r="BN7" t="s">
        <v>59</v>
      </c>
      <c r="BO7" t="s">
        <v>66</v>
      </c>
      <c r="BP7" t="s">
        <v>52</v>
      </c>
      <c r="BQ7" t="s">
        <v>11</v>
      </c>
      <c r="BR7" t="s">
        <v>21</v>
      </c>
      <c r="BS7" t="s">
        <v>19</v>
      </c>
      <c r="BT7" t="s">
        <v>21</v>
      </c>
      <c r="BU7" t="s">
        <v>46</v>
      </c>
      <c r="BV7" t="s">
        <v>52</v>
      </c>
      <c r="BW7" t="s">
        <v>26</v>
      </c>
      <c r="BX7" t="s">
        <v>12</v>
      </c>
      <c r="BY7" t="s">
        <v>34</v>
      </c>
      <c r="BZ7" t="s">
        <v>19</v>
      </c>
      <c r="CA7" t="s">
        <v>5</v>
      </c>
      <c r="CB7" t="s">
        <v>18</v>
      </c>
      <c r="CC7" t="s">
        <v>12</v>
      </c>
      <c r="CD7" t="s">
        <v>11</v>
      </c>
      <c r="CE7" t="s">
        <v>20</v>
      </c>
      <c r="CF7" t="s">
        <v>26</v>
      </c>
      <c r="CG7" t="s">
        <v>21</v>
      </c>
      <c r="CH7" t="s">
        <v>29</v>
      </c>
      <c r="CI7" t="s">
        <v>19</v>
      </c>
      <c r="CJ7" t="s">
        <v>21</v>
      </c>
      <c r="CK7" t="s">
        <v>21</v>
      </c>
      <c r="CL7" t="s">
        <v>29</v>
      </c>
      <c r="CM7" t="s">
        <v>19</v>
      </c>
      <c r="CN7" t="s">
        <v>19</v>
      </c>
      <c r="CO7" t="s">
        <v>21</v>
      </c>
      <c r="CP7" t="s">
        <v>19</v>
      </c>
      <c r="CQ7" t="s">
        <v>15</v>
      </c>
      <c r="CR7" t="s">
        <v>19</v>
      </c>
      <c r="CS7" t="s">
        <v>9</v>
      </c>
      <c r="CT7" t="s">
        <v>18</v>
      </c>
      <c r="CU7" t="s">
        <v>21</v>
      </c>
      <c r="CV7" t="s">
        <v>19</v>
      </c>
      <c r="CW7" t="s">
        <v>15</v>
      </c>
      <c r="CX7" t="s">
        <v>18</v>
      </c>
      <c r="CY7" t="s">
        <v>9</v>
      </c>
    </row>
    <row r="8" spans="1:103" ht="15" customHeight="1" x14ac:dyDescent="0.25">
      <c r="A8" t="s">
        <v>30</v>
      </c>
      <c r="B8" t="s">
        <v>3</v>
      </c>
      <c r="D8" t="s">
        <v>4</v>
      </c>
      <c r="G8" t="s">
        <v>48</v>
      </c>
      <c r="H8" t="s">
        <v>30</v>
      </c>
      <c r="J8" t="s">
        <v>10</v>
      </c>
      <c r="L8" t="s">
        <v>57</v>
      </c>
      <c r="M8" t="s">
        <v>2</v>
      </c>
      <c r="O8" t="s">
        <v>1</v>
      </c>
      <c r="Q8" t="s">
        <v>57</v>
      </c>
      <c r="S8" t="s">
        <v>7</v>
      </c>
      <c r="T8" t="s">
        <v>54</v>
      </c>
      <c r="V8" t="s">
        <v>16</v>
      </c>
      <c r="W8" t="s">
        <v>10</v>
      </c>
      <c r="Y8" t="s">
        <v>3</v>
      </c>
      <c r="AA8" t="s">
        <v>1</v>
      </c>
      <c r="AB8" t="s">
        <v>14</v>
      </c>
      <c r="AC8" t="s">
        <v>76</v>
      </c>
      <c r="AE8" t="s">
        <v>27</v>
      </c>
      <c r="AH8" t="s">
        <v>57</v>
      </c>
      <c r="AL8" t="s">
        <v>8</v>
      </c>
      <c r="AM8" t="s">
        <v>30</v>
      </c>
      <c r="AQ8" t="s">
        <v>57</v>
      </c>
      <c r="AS8" t="s">
        <v>30</v>
      </c>
      <c r="AV8" t="s">
        <v>43</v>
      </c>
      <c r="AX8" t="s">
        <v>14</v>
      </c>
      <c r="AY8" t="s">
        <v>81</v>
      </c>
      <c r="AZ8" t="s">
        <v>40</v>
      </c>
      <c r="BA8" t="s">
        <v>69</v>
      </c>
      <c r="BB8" t="s">
        <v>8</v>
      </c>
      <c r="BD8" t="s">
        <v>16</v>
      </c>
      <c r="BE8" t="s">
        <v>54</v>
      </c>
      <c r="BF8" t="s">
        <v>57</v>
      </c>
      <c r="BH8" t="s">
        <v>10</v>
      </c>
      <c r="BK8" t="s">
        <v>17</v>
      </c>
      <c r="BM8" t="s">
        <v>7</v>
      </c>
      <c r="BN8" t="s">
        <v>39</v>
      </c>
      <c r="BO8" t="s">
        <v>4</v>
      </c>
      <c r="BR8" t="s">
        <v>2</v>
      </c>
      <c r="BS8" t="s">
        <v>28</v>
      </c>
      <c r="BY8" t="s">
        <v>17</v>
      </c>
      <c r="BZ8" t="s">
        <v>28</v>
      </c>
      <c r="CC8" t="s">
        <v>10</v>
      </c>
      <c r="CD8" t="s">
        <v>2</v>
      </c>
      <c r="CE8" t="s">
        <v>8</v>
      </c>
      <c r="CF8" t="s">
        <v>2</v>
      </c>
      <c r="CH8" t="s">
        <v>10</v>
      </c>
      <c r="CI8" t="s">
        <v>28</v>
      </c>
      <c r="CJ8" t="s">
        <v>10</v>
      </c>
      <c r="CK8" t="s">
        <v>28</v>
      </c>
      <c r="CL8" t="s">
        <v>6</v>
      </c>
      <c r="CM8" t="s">
        <v>14</v>
      </c>
      <c r="CN8" t="s">
        <v>1</v>
      </c>
      <c r="CO8" t="s">
        <v>3</v>
      </c>
      <c r="CP8" t="s">
        <v>1</v>
      </c>
      <c r="CQ8" t="s">
        <v>10</v>
      </c>
      <c r="CR8" t="s">
        <v>16</v>
      </c>
      <c r="CS8" t="s">
        <v>10</v>
      </c>
    </row>
    <row r="9" spans="1:103" ht="15" customHeight="1" x14ac:dyDescent="0.25">
      <c r="A9" t="s">
        <v>53</v>
      </c>
      <c r="B9" t="s">
        <v>45</v>
      </c>
      <c r="D9" t="s">
        <v>37</v>
      </c>
      <c r="G9" t="s">
        <v>37</v>
      </c>
      <c r="H9" t="s">
        <v>27</v>
      </c>
      <c r="J9" t="s">
        <v>69</v>
      </c>
      <c r="L9" t="s">
        <v>61</v>
      </c>
      <c r="M9" t="s">
        <v>69</v>
      </c>
      <c r="O9" t="s">
        <v>50</v>
      </c>
      <c r="Q9" t="s">
        <v>40</v>
      </c>
      <c r="S9" t="s">
        <v>54</v>
      </c>
      <c r="T9" t="s">
        <v>69</v>
      </c>
      <c r="V9" t="s">
        <v>7</v>
      </c>
      <c r="W9" t="s">
        <v>2</v>
      </c>
      <c r="Y9" t="s">
        <v>17</v>
      </c>
      <c r="AA9" t="s">
        <v>6</v>
      </c>
      <c r="AB9" t="s">
        <v>64</v>
      </c>
      <c r="AC9" t="s">
        <v>39</v>
      </c>
      <c r="AE9" t="s">
        <v>10</v>
      </c>
      <c r="AH9" t="s">
        <v>40</v>
      </c>
      <c r="AL9" t="s">
        <v>4</v>
      </c>
      <c r="AM9" t="s">
        <v>8</v>
      </c>
      <c r="AQ9" t="s">
        <v>69</v>
      </c>
      <c r="AS9" t="s">
        <v>56</v>
      </c>
      <c r="AV9" t="s">
        <v>61</v>
      </c>
      <c r="AX9" t="s">
        <v>4</v>
      </c>
      <c r="AY9" t="s">
        <v>37</v>
      </c>
      <c r="AZ9" t="s">
        <v>62</v>
      </c>
      <c r="BA9" t="s">
        <v>64</v>
      </c>
      <c r="BB9" t="s">
        <v>50</v>
      </c>
      <c r="BD9" t="s">
        <v>3</v>
      </c>
      <c r="BE9" t="s">
        <v>8</v>
      </c>
      <c r="BF9" t="s">
        <v>37</v>
      </c>
      <c r="BH9" t="s">
        <v>1</v>
      </c>
      <c r="BK9" t="s">
        <v>24</v>
      </c>
      <c r="BM9" t="s">
        <v>2</v>
      </c>
      <c r="BN9" t="s">
        <v>24</v>
      </c>
      <c r="BO9" t="s">
        <v>37</v>
      </c>
      <c r="BR9" t="s">
        <v>48</v>
      </c>
      <c r="BS9" t="s">
        <v>36</v>
      </c>
      <c r="BY9" t="s">
        <v>32</v>
      </c>
      <c r="BZ9" t="s">
        <v>43</v>
      </c>
      <c r="CC9" t="s">
        <v>14</v>
      </c>
      <c r="CD9" t="s">
        <v>8</v>
      </c>
      <c r="CE9" t="s">
        <v>6</v>
      </c>
      <c r="CF9" t="s">
        <v>48</v>
      </c>
      <c r="CH9" t="s">
        <v>37</v>
      </c>
      <c r="CI9" t="s">
        <v>7</v>
      </c>
      <c r="CJ9" t="s">
        <v>25</v>
      </c>
      <c r="CK9" t="s">
        <v>8</v>
      </c>
      <c r="CL9" t="s">
        <v>25</v>
      </c>
      <c r="CM9" t="s">
        <v>8</v>
      </c>
      <c r="CN9" t="s">
        <v>6</v>
      </c>
      <c r="CO9" t="s">
        <v>8</v>
      </c>
      <c r="CP9" t="s">
        <v>6</v>
      </c>
      <c r="CQ9" t="s">
        <v>8</v>
      </c>
      <c r="CR9" t="s">
        <v>6</v>
      </c>
      <c r="CS9" t="s">
        <v>3</v>
      </c>
    </row>
    <row r="10" spans="1:103" ht="15" customHeight="1" x14ac:dyDescent="0.25">
      <c r="A10" t="s">
        <v>31</v>
      </c>
      <c r="B10" t="s">
        <v>0</v>
      </c>
      <c r="D10" t="s">
        <v>49</v>
      </c>
      <c r="G10" t="s">
        <v>68</v>
      </c>
      <c r="H10" t="s">
        <v>26</v>
      </c>
      <c r="J10" t="s">
        <v>49</v>
      </c>
      <c r="L10" t="s">
        <v>41</v>
      </c>
      <c r="M10" t="s">
        <v>59</v>
      </c>
      <c r="O10" t="s">
        <v>42</v>
      </c>
      <c r="Q10" t="s">
        <v>58</v>
      </c>
      <c r="S10" t="s">
        <v>34</v>
      </c>
      <c r="T10" t="s">
        <v>49</v>
      </c>
      <c r="V10" t="s">
        <v>55</v>
      </c>
      <c r="W10" t="s">
        <v>49</v>
      </c>
      <c r="Y10" t="s">
        <v>67</v>
      </c>
      <c r="AA10" t="s">
        <v>11</v>
      </c>
      <c r="AB10" t="s">
        <v>42</v>
      </c>
      <c r="AC10" t="s">
        <v>44</v>
      </c>
      <c r="AE10" t="s">
        <v>0</v>
      </c>
      <c r="AH10" t="s">
        <v>13</v>
      </c>
      <c r="AL10" t="s">
        <v>13</v>
      </c>
      <c r="AM10" t="s">
        <v>35</v>
      </c>
      <c r="AQ10" t="s">
        <v>22</v>
      </c>
      <c r="AS10" t="s">
        <v>47</v>
      </c>
      <c r="AV10" t="s">
        <v>38</v>
      </c>
      <c r="AX10" t="s">
        <v>29</v>
      </c>
      <c r="AY10" t="s">
        <v>49</v>
      </c>
      <c r="AZ10" t="s">
        <v>59</v>
      </c>
      <c r="BA10" t="s">
        <v>74</v>
      </c>
      <c r="BB10" t="s">
        <v>13</v>
      </c>
      <c r="BD10" t="s">
        <v>31</v>
      </c>
      <c r="BE10" t="s">
        <v>33</v>
      </c>
      <c r="BF10" t="s">
        <v>70</v>
      </c>
      <c r="BH10" t="s">
        <v>34</v>
      </c>
      <c r="BK10" t="s">
        <v>33</v>
      </c>
      <c r="BM10" t="s">
        <v>41</v>
      </c>
      <c r="BN10" t="s">
        <v>13</v>
      </c>
      <c r="BO10" t="s">
        <v>49</v>
      </c>
      <c r="BR10" t="s">
        <v>59</v>
      </c>
      <c r="BS10" t="s">
        <v>55</v>
      </c>
      <c r="BY10" t="s">
        <v>44</v>
      </c>
      <c r="BZ10" t="s">
        <v>70</v>
      </c>
      <c r="CC10" t="s">
        <v>29</v>
      </c>
      <c r="CD10" t="s">
        <v>19</v>
      </c>
      <c r="CE10" t="s">
        <v>12</v>
      </c>
      <c r="CF10" t="s">
        <v>41</v>
      </c>
      <c r="CH10" t="s">
        <v>15</v>
      </c>
      <c r="CI10" t="s">
        <v>20</v>
      </c>
      <c r="CJ10" t="s">
        <v>18</v>
      </c>
      <c r="CK10" t="s">
        <v>5</v>
      </c>
      <c r="CL10" t="s">
        <v>18</v>
      </c>
      <c r="CM10" t="s">
        <v>18</v>
      </c>
      <c r="CN10" t="s">
        <v>0</v>
      </c>
      <c r="CO10" t="s">
        <v>0</v>
      </c>
      <c r="CP10" t="s">
        <v>18</v>
      </c>
      <c r="CQ10" t="s">
        <v>9</v>
      </c>
      <c r="CR10" t="s">
        <v>18</v>
      </c>
      <c r="CS10" t="s">
        <v>15</v>
      </c>
    </row>
    <row r="11" spans="1:103" ht="15" customHeight="1" x14ac:dyDescent="0.25">
      <c r="A11" t="s">
        <v>0</v>
      </c>
      <c r="B11" t="s">
        <v>35</v>
      </c>
      <c r="D11" t="s">
        <v>38</v>
      </c>
      <c r="G11" t="s">
        <v>21</v>
      </c>
      <c r="H11" t="s">
        <v>51</v>
      </c>
      <c r="J11" t="s">
        <v>68</v>
      </c>
      <c r="L11" t="s">
        <v>15</v>
      </c>
      <c r="M11" t="s">
        <v>58</v>
      </c>
      <c r="O11" t="s">
        <v>12</v>
      </c>
      <c r="Q11" t="s">
        <v>46</v>
      </c>
      <c r="S11" t="s">
        <v>52</v>
      </c>
      <c r="T11" t="s">
        <v>21</v>
      </c>
      <c r="V11" t="s">
        <v>52</v>
      </c>
      <c r="W11" t="s">
        <v>67</v>
      </c>
      <c r="Y11" t="s">
        <v>52</v>
      </c>
      <c r="AA11" t="s">
        <v>77</v>
      </c>
      <c r="AB11" t="s">
        <v>46</v>
      </c>
      <c r="AC11" t="s">
        <v>51</v>
      </c>
      <c r="AE11" t="s">
        <v>9</v>
      </c>
      <c r="AH11" t="s">
        <v>26</v>
      </c>
      <c r="AL11" t="s">
        <v>42</v>
      </c>
      <c r="AM11" t="s">
        <v>47</v>
      </c>
      <c r="AQ11" t="s">
        <v>34</v>
      </c>
      <c r="AS11" t="s">
        <v>72</v>
      </c>
      <c r="AV11" t="s">
        <v>15</v>
      </c>
      <c r="AX11" t="s">
        <v>12</v>
      </c>
      <c r="AY11" t="s">
        <v>21</v>
      </c>
      <c r="AZ11" t="s">
        <v>20</v>
      </c>
      <c r="BA11" t="s">
        <v>58</v>
      </c>
      <c r="BB11" t="s">
        <v>42</v>
      </c>
      <c r="BD11" t="s">
        <v>63</v>
      </c>
      <c r="BE11" t="s">
        <v>46</v>
      </c>
      <c r="BF11" t="s">
        <v>58</v>
      </c>
      <c r="BH11" t="s">
        <v>21</v>
      </c>
      <c r="BK11" t="s">
        <v>21</v>
      </c>
      <c r="BM11" t="s">
        <v>22</v>
      </c>
      <c r="BN11" t="s">
        <v>51</v>
      </c>
      <c r="BO11" t="s">
        <v>21</v>
      </c>
      <c r="BR11" t="s">
        <v>34</v>
      </c>
      <c r="BS11" t="s">
        <v>46</v>
      </c>
      <c r="BY11" t="s">
        <v>26</v>
      </c>
      <c r="BZ11" t="s">
        <v>21</v>
      </c>
      <c r="CC11" t="s">
        <v>9</v>
      </c>
      <c r="CD11" t="s">
        <v>46</v>
      </c>
      <c r="CE11" t="s">
        <v>9</v>
      </c>
      <c r="CF11" t="s">
        <v>19</v>
      </c>
      <c r="CH11" t="s">
        <v>21</v>
      </c>
      <c r="CI11" t="s">
        <v>9</v>
      </c>
      <c r="CJ11" t="s">
        <v>19</v>
      </c>
      <c r="CK11" t="s">
        <v>29</v>
      </c>
      <c r="CL11" t="s">
        <v>12</v>
      </c>
      <c r="CM11" t="s">
        <v>15</v>
      </c>
      <c r="CN11" t="s">
        <v>18</v>
      </c>
      <c r="CO11" t="s">
        <v>29</v>
      </c>
      <c r="CP11" t="s">
        <v>15</v>
      </c>
      <c r="CQ11" t="s">
        <v>21</v>
      </c>
      <c r="CR11" t="s">
        <v>20</v>
      </c>
      <c r="CS11" t="s">
        <v>21</v>
      </c>
    </row>
    <row r="12" spans="1:103" ht="15" customHeight="1" x14ac:dyDescent="0.25">
      <c r="A12" t="s">
        <v>14</v>
      </c>
      <c r="D12" t="s">
        <v>27</v>
      </c>
      <c r="G12" t="s">
        <v>60</v>
      </c>
      <c r="H12" t="s">
        <v>14</v>
      </c>
      <c r="J12" t="s">
        <v>28</v>
      </c>
      <c r="M12" t="s">
        <v>10</v>
      </c>
      <c r="O12" t="s">
        <v>7</v>
      </c>
      <c r="Q12" t="s">
        <v>28</v>
      </c>
      <c r="S12" t="s">
        <v>14</v>
      </c>
      <c r="T12" t="s">
        <v>76</v>
      </c>
      <c r="V12" t="s">
        <v>14</v>
      </c>
      <c r="W12" t="s">
        <v>30</v>
      </c>
      <c r="Y12" t="s">
        <v>6</v>
      </c>
      <c r="AB12" t="s">
        <v>7</v>
      </c>
      <c r="AC12" t="s">
        <v>65</v>
      </c>
      <c r="AE12" t="s">
        <v>61</v>
      </c>
      <c r="AH12" t="s">
        <v>32</v>
      </c>
      <c r="AL12" t="s">
        <v>7</v>
      </c>
      <c r="AM12" t="s">
        <v>54</v>
      </c>
      <c r="AQ12" t="s">
        <v>10</v>
      </c>
      <c r="AS12" t="s">
        <v>45</v>
      </c>
      <c r="AV12" t="s">
        <v>65</v>
      </c>
      <c r="AX12" t="s">
        <v>6</v>
      </c>
      <c r="AY12" t="s">
        <v>4</v>
      </c>
      <c r="AZ12" t="s">
        <v>1</v>
      </c>
      <c r="BA12" t="s">
        <v>60</v>
      </c>
      <c r="BB12" t="s">
        <v>16</v>
      </c>
      <c r="BD12" t="s">
        <v>10</v>
      </c>
      <c r="BE12" t="s">
        <v>43</v>
      </c>
      <c r="BF12" t="s">
        <v>28</v>
      </c>
      <c r="BK12" t="s">
        <v>16</v>
      </c>
      <c r="BM12" t="s">
        <v>37</v>
      </c>
      <c r="BN12" t="s">
        <v>16</v>
      </c>
      <c r="BO12" t="s">
        <v>14</v>
      </c>
      <c r="BR12" t="s">
        <v>30</v>
      </c>
      <c r="BS12" t="s">
        <v>32</v>
      </c>
      <c r="BY12" t="s">
        <v>1</v>
      </c>
      <c r="BZ12" t="s">
        <v>61</v>
      </c>
      <c r="CC12" t="s">
        <v>1</v>
      </c>
      <c r="CD12" t="s">
        <v>56</v>
      </c>
      <c r="CH12" t="s">
        <v>16</v>
      </c>
      <c r="CI12" t="s">
        <v>1</v>
      </c>
      <c r="CJ12" t="s">
        <v>16</v>
      </c>
      <c r="CK12" t="s">
        <v>1</v>
      </c>
      <c r="CL12" t="s">
        <v>2</v>
      </c>
    </row>
    <row r="13" spans="1:103" ht="15" customHeight="1" x14ac:dyDescent="0.25">
      <c r="A13" t="s">
        <v>32</v>
      </c>
      <c r="D13" t="s">
        <v>3</v>
      </c>
      <c r="G13" t="s">
        <v>61</v>
      </c>
      <c r="H13" t="s">
        <v>32</v>
      </c>
      <c r="J13" t="s">
        <v>60</v>
      </c>
      <c r="M13" t="s">
        <v>37</v>
      </c>
      <c r="O13" t="s">
        <v>71</v>
      </c>
      <c r="Q13" t="s">
        <v>37</v>
      </c>
      <c r="S13" t="s">
        <v>36</v>
      </c>
      <c r="T13" t="s">
        <v>56</v>
      </c>
      <c r="V13" t="s">
        <v>61</v>
      </c>
      <c r="W13" t="s">
        <v>24</v>
      </c>
      <c r="Y13" t="s">
        <v>37</v>
      </c>
      <c r="AB13" t="s">
        <v>48</v>
      </c>
      <c r="AC13" t="s">
        <v>24</v>
      </c>
      <c r="AE13" t="s">
        <v>37</v>
      </c>
      <c r="AH13" t="s">
        <v>25</v>
      </c>
      <c r="AL13" t="s">
        <v>62</v>
      </c>
      <c r="AM13" t="s">
        <v>2</v>
      </c>
      <c r="AQ13" t="s">
        <v>60</v>
      </c>
      <c r="AS13" t="s">
        <v>25</v>
      </c>
      <c r="AV13" t="s">
        <v>25</v>
      </c>
      <c r="AX13" t="s">
        <v>50</v>
      </c>
      <c r="AY13" t="s">
        <v>6</v>
      </c>
      <c r="AZ13" t="s">
        <v>50</v>
      </c>
      <c r="BA13" t="s">
        <v>36</v>
      </c>
      <c r="BB13" t="s">
        <v>28</v>
      </c>
      <c r="BD13" t="s">
        <v>64</v>
      </c>
      <c r="BE13" t="s">
        <v>25</v>
      </c>
      <c r="BF13" t="s">
        <v>69</v>
      </c>
      <c r="BK13" t="s">
        <v>10</v>
      </c>
      <c r="BM13" t="s">
        <v>36</v>
      </c>
      <c r="BN13" t="s">
        <v>60</v>
      </c>
      <c r="BO13" t="s">
        <v>17</v>
      </c>
      <c r="BR13" t="s">
        <v>3</v>
      </c>
      <c r="BS13" t="s">
        <v>24</v>
      </c>
      <c r="BY13" t="s">
        <v>24</v>
      </c>
      <c r="BZ13" t="s">
        <v>6</v>
      </c>
      <c r="CC13" t="s">
        <v>37</v>
      </c>
      <c r="CD13" t="s">
        <v>4</v>
      </c>
      <c r="CH13" t="s">
        <v>6</v>
      </c>
      <c r="CI13" t="s">
        <v>25</v>
      </c>
      <c r="CJ13" t="s">
        <v>8</v>
      </c>
      <c r="CK13" t="s">
        <v>2</v>
      </c>
      <c r="CL13" t="s">
        <v>48</v>
      </c>
    </row>
    <row r="14" spans="1:103" ht="15" customHeight="1" x14ac:dyDescent="0.25">
      <c r="A14" t="s">
        <v>23</v>
      </c>
      <c r="D14" t="s">
        <v>31</v>
      </c>
      <c r="G14" t="s">
        <v>15</v>
      </c>
      <c r="H14" t="s">
        <v>52</v>
      </c>
      <c r="J14" t="s">
        <v>55</v>
      </c>
      <c r="M14" t="s">
        <v>67</v>
      </c>
      <c r="O14" t="s">
        <v>55</v>
      </c>
      <c r="Q14" t="s">
        <v>49</v>
      </c>
      <c r="S14" t="s">
        <v>42</v>
      </c>
      <c r="T14" t="s">
        <v>0</v>
      </c>
      <c r="V14" t="s">
        <v>38</v>
      </c>
      <c r="W14" t="s">
        <v>0</v>
      </c>
      <c r="Y14" t="s">
        <v>15</v>
      </c>
      <c r="AB14" t="s">
        <v>58</v>
      </c>
      <c r="AC14" t="s">
        <v>31</v>
      </c>
      <c r="AE14" t="s">
        <v>70</v>
      </c>
      <c r="AH14" t="s">
        <v>5</v>
      </c>
      <c r="AL14" t="s">
        <v>59</v>
      </c>
      <c r="AM14" t="s">
        <v>19</v>
      </c>
      <c r="AQ14" t="s">
        <v>55</v>
      </c>
      <c r="AS14" t="s">
        <v>0</v>
      </c>
      <c r="AV14" t="s">
        <v>29</v>
      </c>
      <c r="AX14" t="s">
        <v>33</v>
      </c>
      <c r="AY14" t="s">
        <v>11</v>
      </c>
      <c r="AZ14" t="s">
        <v>11</v>
      </c>
      <c r="BA14" t="s">
        <v>9</v>
      </c>
      <c r="BB14" t="s">
        <v>20</v>
      </c>
      <c r="BD14" t="s">
        <v>49</v>
      </c>
      <c r="BE14" t="s">
        <v>0</v>
      </c>
      <c r="BF14" t="s">
        <v>55</v>
      </c>
      <c r="BK14" t="s">
        <v>63</v>
      </c>
      <c r="BM14" t="s">
        <v>15</v>
      </c>
      <c r="BN14" t="s">
        <v>20</v>
      </c>
      <c r="BO14" t="s">
        <v>26</v>
      </c>
      <c r="BR14" t="s">
        <v>5</v>
      </c>
      <c r="BS14" t="s">
        <v>13</v>
      </c>
      <c r="BY14" t="s">
        <v>13</v>
      </c>
      <c r="BZ14" t="s">
        <v>49</v>
      </c>
      <c r="CC14" t="s">
        <v>11</v>
      </c>
      <c r="CD14" t="s">
        <v>13</v>
      </c>
      <c r="CH14" t="s">
        <v>20</v>
      </c>
      <c r="CI14" t="s">
        <v>29</v>
      </c>
      <c r="CJ14" t="s">
        <v>0</v>
      </c>
      <c r="CK14" t="s">
        <v>18</v>
      </c>
      <c r="CL14" t="s">
        <v>22</v>
      </c>
    </row>
    <row r="15" spans="1:103" ht="15" customHeight="1" x14ac:dyDescent="0.25">
      <c r="A15" t="s">
        <v>47</v>
      </c>
      <c r="D15" t="s">
        <v>5</v>
      </c>
      <c r="G15" t="s">
        <v>67</v>
      </c>
      <c r="H15" t="s">
        <v>73</v>
      </c>
      <c r="J15" t="s">
        <v>73</v>
      </c>
      <c r="M15" t="s">
        <v>9</v>
      </c>
      <c r="O15" t="s">
        <v>49</v>
      </c>
      <c r="Q15" t="s">
        <v>67</v>
      </c>
      <c r="S15" t="s">
        <v>55</v>
      </c>
      <c r="T15" t="s">
        <v>44</v>
      </c>
      <c r="V15" t="s">
        <v>15</v>
      </c>
      <c r="W15" t="s">
        <v>44</v>
      </c>
      <c r="Y15" t="s">
        <v>68</v>
      </c>
      <c r="AB15" t="s">
        <v>19</v>
      </c>
      <c r="AC15" t="s">
        <v>47</v>
      </c>
      <c r="AE15" t="s">
        <v>21</v>
      </c>
      <c r="AH15" t="s">
        <v>44</v>
      </c>
      <c r="AL15" t="s">
        <v>20</v>
      </c>
      <c r="AM15" t="s">
        <v>46</v>
      </c>
      <c r="AQ15" t="s">
        <v>21</v>
      </c>
      <c r="AS15" t="s">
        <v>26</v>
      </c>
      <c r="AV15" t="s">
        <v>12</v>
      </c>
      <c r="AX15" t="s">
        <v>11</v>
      </c>
      <c r="AY15" t="s">
        <v>12</v>
      </c>
      <c r="AZ15" t="s">
        <v>12</v>
      </c>
      <c r="BA15" t="s">
        <v>52</v>
      </c>
      <c r="BB15" t="s">
        <v>55</v>
      </c>
      <c r="BD15" t="s">
        <v>58</v>
      </c>
      <c r="BE15" t="s">
        <v>15</v>
      </c>
      <c r="BF15" t="s">
        <v>52</v>
      </c>
      <c r="BK15" t="s">
        <v>19</v>
      </c>
      <c r="BM15" t="s">
        <v>9</v>
      </c>
      <c r="BN15" t="s">
        <v>55</v>
      </c>
      <c r="BO15" t="s">
        <v>9</v>
      </c>
      <c r="BR15" t="s">
        <v>44</v>
      </c>
      <c r="BS15" t="s">
        <v>35</v>
      </c>
      <c r="BY15" t="s">
        <v>11</v>
      </c>
      <c r="BZ15" t="s">
        <v>38</v>
      </c>
      <c r="CC15" t="s">
        <v>21</v>
      </c>
      <c r="CD15" t="s">
        <v>18</v>
      </c>
      <c r="CH15" t="s">
        <v>9</v>
      </c>
      <c r="CI15" t="s">
        <v>12</v>
      </c>
      <c r="CJ15" t="s">
        <v>20</v>
      </c>
      <c r="CK15" t="s">
        <v>19</v>
      </c>
      <c r="CL15" t="s">
        <v>19</v>
      </c>
    </row>
    <row r="16" spans="1:103" ht="15" customHeight="1" x14ac:dyDescent="0.25">
      <c r="A16" t="s">
        <v>40</v>
      </c>
      <c r="D16" t="s">
        <v>1</v>
      </c>
      <c r="G16" t="s">
        <v>17</v>
      </c>
      <c r="H16" t="s">
        <v>3</v>
      </c>
      <c r="J16" t="s">
        <v>1</v>
      </c>
      <c r="M16" t="s">
        <v>43</v>
      </c>
      <c r="O16" t="s">
        <v>60</v>
      </c>
      <c r="Q16" t="s">
        <v>43</v>
      </c>
      <c r="S16" t="s">
        <v>8</v>
      </c>
      <c r="T16" t="s">
        <v>53</v>
      </c>
      <c r="V16" t="s">
        <v>43</v>
      </c>
      <c r="W16" t="s">
        <v>76</v>
      </c>
      <c r="Y16" t="s">
        <v>10</v>
      </c>
      <c r="AB16" t="s">
        <v>28</v>
      </c>
      <c r="AC16" t="s">
        <v>54</v>
      </c>
      <c r="AE16" t="s">
        <v>39</v>
      </c>
      <c r="AH16" t="s">
        <v>39</v>
      </c>
      <c r="AL16" t="s">
        <v>6</v>
      </c>
      <c r="AM16" t="s">
        <v>4</v>
      </c>
      <c r="AQ16" t="s">
        <v>28</v>
      </c>
      <c r="AS16" t="s">
        <v>1</v>
      </c>
      <c r="AV16" t="s">
        <v>57</v>
      </c>
      <c r="AX16" t="s">
        <v>27</v>
      </c>
      <c r="AY16" t="s">
        <v>17</v>
      </c>
      <c r="AZ16" t="s">
        <v>3</v>
      </c>
      <c r="BA16" t="s">
        <v>17</v>
      </c>
      <c r="BB16" t="s">
        <v>14</v>
      </c>
      <c r="BD16" t="s">
        <v>39</v>
      </c>
      <c r="BE16" t="s">
        <v>16</v>
      </c>
      <c r="BF16" t="s">
        <v>80</v>
      </c>
      <c r="BK16" t="s">
        <v>1</v>
      </c>
      <c r="BM16" t="s">
        <v>3</v>
      </c>
      <c r="BN16" t="s">
        <v>10</v>
      </c>
      <c r="BO16" t="s">
        <v>1</v>
      </c>
      <c r="BR16" t="s">
        <v>17</v>
      </c>
      <c r="BS16" t="s">
        <v>7</v>
      </c>
      <c r="BY16" t="s">
        <v>27</v>
      </c>
      <c r="BZ16" t="s">
        <v>1</v>
      </c>
      <c r="CC16" t="s">
        <v>16</v>
      </c>
      <c r="CD16" t="s">
        <v>7</v>
      </c>
      <c r="CH16" t="s">
        <v>7</v>
      </c>
      <c r="CI16" t="s">
        <v>8</v>
      </c>
      <c r="CJ16" t="s">
        <v>3</v>
      </c>
      <c r="CK16" t="s">
        <v>14</v>
      </c>
    </row>
    <row r="17" spans="1:89" ht="15" customHeight="1" x14ac:dyDescent="0.25">
      <c r="A17" t="s">
        <v>62</v>
      </c>
      <c r="D17" t="s">
        <v>8</v>
      </c>
      <c r="G17" t="s">
        <v>53</v>
      </c>
      <c r="H17" t="s">
        <v>65</v>
      </c>
      <c r="J17" t="s">
        <v>24</v>
      </c>
      <c r="M17" t="s">
        <v>6</v>
      </c>
      <c r="O17" t="s">
        <v>64</v>
      </c>
      <c r="Q17" t="s">
        <v>32</v>
      </c>
      <c r="S17" t="s">
        <v>24</v>
      </c>
      <c r="T17" t="s">
        <v>25</v>
      </c>
      <c r="V17" t="s">
        <v>71</v>
      </c>
      <c r="W17" t="s">
        <v>61</v>
      </c>
      <c r="Y17" t="s">
        <v>71</v>
      </c>
      <c r="AB17" t="s">
        <v>10</v>
      </c>
      <c r="AC17" t="s">
        <v>62</v>
      </c>
      <c r="AE17" t="s">
        <v>65</v>
      </c>
      <c r="AH17" t="s">
        <v>45</v>
      </c>
      <c r="AL17" t="s">
        <v>36</v>
      </c>
      <c r="AM17" t="s">
        <v>24</v>
      </c>
      <c r="AQ17" t="s">
        <v>2</v>
      </c>
      <c r="AS17" t="s">
        <v>50</v>
      </c>
      <c r="AV17" t="s">
        <v>2</v>
      </c>
      <c r="AX17" t="s">
        <v>8</v>
      </c>
      <c r="AY17" t="s">
        <v>8</v>
      </c>
      <c r="AZ17" t="s">
        <v>32</v>
      </c>
      <c r="BA17" t="s">
        <v>4</v>
      </c>
      <c r="BB17" t="s">
        <v>43</v>
      </c>
      <c r="BD17" t="s">
        <v>6</v>
      </c>
      <c r="BE17" t="s">
        <v>36</v>
      </c>
      <c r="BF17" t="s">
        <v>45</v>
      </c>
      <c r="BK17" t="s">
        <v>32</v>
      </c>
      <c r="BM17" t="s">
        <v>6</v>
      </c>
      <c r="BN17" t="s">
        <v>71</v>
      </c>
      <c r="BO17" t="s">
        <v>45</v>
      </c>
      <c r="BR17" t="s">
        <v>4</v>
      </c>
      <c r="BS17" t="s">
        <v>62</v>
      </c>
      <c r="BY17" t="s">
        <v>4</v>
      </c>
      <c r="BZ17" t="s">
        <v>4</v>
      </c>
      <c r="CC17" t="s">
        <v>4</v>
      </c>
      <c r="CD17" t="s">
        <v>48</v>
      </c>
      <c r="CH17" t="s">
        <v>48</v>
      </c>
      <c r="CI17" t="s">
        <v>48</v>
      </c>
      <c r="CJ17" t="s">
        <v>2</v>
      </c>
      <c r="CK17" t="s">
        <v>6</v>
      </c>
    </row>
    <row r="18" spans="1:89" ht="15" customHeight="1" x14ac:dyDescent="0.25">
      <c r="A18" t="s">
        <v>22</v>
      </c>
      <c r="D18" t="s">
        <v>42</v>
      </c>
      <c r="G18" t="s">
        <v>29</v>
      </c>
      <c r="H18" t="s">
        <v>0</v>
      </c>
      <c r="J18" t="s">
        <v>11</v>
      </c>
      <c r="M18" t="s">
        <v>38</v>
      </c>
      <c r="O18" t="s">
        <v>15</v>
      </c>
      <c r="Q18" t="s">
        <v>38</v>
      </c>
      <c r="S18" t="s">
        <v>5</v>
      </c>
      <c r="T18" t="s">
        <v>33</v>
      </c>
      <c r="V18" t="s">
        <v>70</v>
      </c>
      <c r="W18" t="s">
        <v>31</v>
      </c>
      <c r="Y18" t="s">
        <v>75</v>
      </c>
      <c r="AB18" t="s">
        <v>21</v>
      </c>
      <c r="AC18" t="s">
        <v>63</v>
      </c>
      <c r="AE18" t="s">
        <v>47</v>
      </c>
      <c r="AH18" t="s">
        <v>23</v>
      </c>
      <c r="AL18" t="s">
        <v>38</v>
      </c>
      <c r="AM18" t="s">
        <v>42</v>
      </c>
      <c r="AQ18" t="s">
        <v>75</v>
      </c>
      <c r="AS18" t="s">
        <v>49</v>
      </c>
      <c r="AV18" t="s">
        <v>63</v>
      </c>
      <c r="AX18" t="s">
        <v>23</v>
      </c>
      <c r="AY18" t="s">
        <v>13</v>
      </c>
      <c r="AZ18" t="s">
        <v>13</v>
      </c>
      <c r="BA18" t="s">
        <v>35</v>
      </c>
      <c r="BB18" t="s">
        <v>29</v>
      </c>
      <c r="BD18" t="s">
        <v>12</v>
      </c>
      <c r="BE18" t="s">
        <v>41</v>
      </c>
      <c r="BF18" t="s">
        <v>33</v>
      </c>
      <c r="BK18" t="s">
        <v>13</v>
      </c>
      <c r="BM18" t="s">
        <v>13</v>
      </c>
      <c r="BN18" t="s">
        <v>29</v>
      </c>
      <c r="BO18" t="s">
        <v>33</v>
      </c>
      <c r="BR18" t="s">
        <v>0</v>
      </c>
      <c r="BS18" t="s">
        <v>31</v>
      </c>
      <c r="BY18" t="s">
        <v>5</v>
      </c>
      <c r="BZ18" t="s">
        <v>42</v>
      </c>
      <c r="CC18" t="s">
        <v>23</v>
      </c>
      <c r="CD18" t="s">
        <v>41</v>
      </c>
      <c r="CH18" t="s">
        <v>22</v>
      </c>
      <c r="CI18" t="s">
        <v>41</v>
      </c>
      <c r="CJ18" t="s">
        <v>41</v>
      </c>
      <c r="CK18" t="s">
        <v>12</v>
      </c>
    </row>
    <row r="19" spans="1:89" ht="15" customHeight="1" x14ac:dyDescent="0.25">
      <c r="A19" t="s">
        <v>58</v>
      </c>
      <c r="D19" t="s">
        <v>26</v>
      </c>
      <c r="G19" t="s">
        <v>73</v>
      </c>
      <c r="H19" t="s">
        <v>47</v>
      </c>
      <c r="J19" t="s">
        <v>26</v>
      </c>
      <c r="M19" t="s">
        <v>12</v>
      </c>
      <c r="O19" t="s">
        <v>68</v>
      </c>
      <c r="Q19" t="s">
        <v>72</v>
      </c>
      <c r="S19" t="s">
        <v>23</v>
      </c>
      <c r="T19" t="s">
        <v>47</v>
      </c>
      <c r="V19" t="s">
        <v>67</v>
      </c>
      <c r="W19" t="s">
        <v>9</v>
      </c>
      <c r="Y19" t="s">
        <v>70</v>
      </c>
      <c r="AB19" t="s">
        <v>52</v>
      </c>
      <c r="AC19" t="s">
        <v>52</v>
      </c>
      <c r="AE19" t="s">
        <v>72</v>
      </c>
      <c r="AH19" t="s">
        <v>51</v>
      </c>
      <c r="AL19" t="s">
        <v>15</v>
      </c>
      <c r="AM19" t="s">
        <v>12</v>
      </c>
      <c r="AQ19" t="s">
        <v>38</v>
      </c>
      <c r="AS19" t="s">
        <v>68</v>
      </c>
      <c r="AV19" t="s">
        <v>19</v>
      </c>
      <c r="AX19" t="s">
        <v>44</v>
      </c>
      <c r="AY19" t="s">
        <v>0</v>
      </c>
      <c r="AZ19" t="s">
        <v>26</v>
      </c>
      <c r="BA19" t="s">
        <v>42</v>
      </c>
      <c r="BB19" t="s">
        <v>38</v>
      </c>
      <c r="BD19" t="s">
        <v>51</v>
      </c>
      <c r="BE19" t="s">
        <v>19</v>
      </c>
      <c r="BF19" t="s">
        <v>11</v>
      </c>
      <c r="BK19" t="s">
        <v>11</v>
      </c>
      <c r="BM19" t="s">
        <v>0</v>
      </c>
      <c r="BN19" t="s">
        <v>15</v>
      </c>
      <c r="BO19" t="s">
        <v>12</v>
      </c>
      <c r="BR19" t="s">
        <v>12</v>
      </c>
      <c r="BS19" t="s">
        <v>63</v>
      </c>
      <c r="BY19" t="s">
        <v>33</v>
      </c>
      <c r="BZ19" t="s">
        <v>12</v>
      </c>
      <c r="CC19" t="s">
        <v>33</v>
      </c>
      <c r="CD19" t="s">
        <v>22</v>
      </c>
      <c r="CH19" t="s">
        <v>5</v>
      </c>
      <c r="CI19" t="s">
        <v>0</v>
      </c>
      <c r="CJ19" t="s">
        <v>22</v>
      </c>
      <c r="CK19" t="s">
        <v>9</v>
      </c>
    </row>
    <row r="20" spans="1:89" ht="15" customHeight="1" x14ac:dyDescent="0.25">
      <c r="A20" t="s">
        <v>2</v>
      </c>
      <c r="D20" t="s">
        <v>30</v>
      </c>
      <c r="G20" t="s">
        <v>50</v>
      </c>
      <c r="H20" t="s">
        <v>2</v>
      </c>
      <c r="J20" t="s">
        <v>56</v>
      </c>
      <c r="M20" t="s">
        <v>45</v>
      </c>
      <c r="O20" t="s">
        <v>3</v>
      </c>
      <c r="Q20" t="s">
        <v>17</v>
      </c>
      <c r="S20" t="s">
        <v>65</v>
      </c>
      <c r="T20" t="s">
        <v>3</v>
      </c>
      <c r="V20" t="s">
        <v>28</v>
      </c>
      <c r="W20" t="s">
        <v>4</v>
      </c>
      <c r="Y20" t="s">
        <v>43</v>
      </c>
      <c r="AB20" t="s">
        <v>1</v>
      </c>
      <c r="AC20" t="s">
        <v>17</v>
      </c>
      <c r="AE20" t="s">
        <v>14</v>
      </c>
      <c r="AH20" t="s">
        <v>30</v>
      </c>
      <c r="AL20" t="s">
        <v>17</v>
      </c>
      <c r="AM20" t="s">
        <v>45</v>
      </c>
      <c r="AQ20" t="s">
        <v>8</v>
      </c>
      <c r="AS20" t="s">
        <v>27</v>
      </c>
      <c r="AV20" t="s">
        <v>53</v>
      </c>
      <c r="AX20" t="s">
        <v>61</v>
      </c>
      <c r="AY20" t="s">
        <v>39</v>
      </c>
      <c r="AZ20" t="s">
        <v>53</v>
      </c>
      <c r="BA20" t="s">
        <v>14</v>
      </c>
      <c r="BB20" t="s">
        <v>40</v>
      </c>
      <c r="BD20" t="s">
        <v>7</v>
      </c>
      <c r="BE20" t="s">
        <v>7</v>
      </c>
      <c r="BF20" t="s">
        <v>17</v>
      </c>
      <c r="BK20" t="s">
        <v>39</v>
      </c>
      <c r="BM20" t="s">
        <v>27</v>
      </c>
      <c r="BN20" t="s">
        <v>56</v>
      </c>
      <c r="BO20" t="s">
        <v>16</v>
      </c>
      <c r="BR20" t="s">
        <v>27</v>
      </c>
      <c r="BS20" t="s">
        <v>39</v>
      </c>
      <c r="BY20" t="s">
        <v>30</v>
      </c>
      <c r="BZ20" t="s">
        <v>17</v>
      </c>
      <c r="CC20" t="s">
        <v>54</v>
      </c>
      <c r="CD20" t="s">
        <v>28</v>
      </c>
    </row>
    <row r="21" spans="1:89" ht="15" customHeight="1" x14ac:dyDescent="0.25">
      <c r="A21" t="s">
        <v>71</v>
      </c>
      <c r="D21" t="s">
        <v>17</v>
      </c>
      <c r="G21" t="s">
        <v>24</v>
      </c>
      <c r="H21" t="s">
        <v>36</v>
      </c>
      <c r="J21" t="s">
        <v>32</v>
      </c>
      <c r="M21" t="s">
        <v>25</v>
      </c>
      <c r="O21" t="s">
        <v>32</v>
      </c>
      <c r="Q21" t="s">
        <v>6</v>
      </c>
      <c r="S21" t="s">
        <v>25</v>
      </c>
      <c r="T21" t="s">
        <v>17</v>
      </c>
      <c r="V21" t="s">
        <v>4</v>
      </c>
      <c r="W21" t="s">
        <v>36</v>
      </c>
      <c r="Y21" t="s">
        <v>40</v>
      </c>
      <c r="AB21" t="s">
        <v>50</v>
      </c>
      <c r="AC21" t="s">
        <v>2</v>
      </c>
      <c r="AE21" t="s">
        <v>60</v>
      </c>
      <c r="AH21" t="s">
        <v>3</v>
      </c>
      <c r="AL21" t="s">
        <v>25</v>
      </c>
      <c r="AM21" t="s">
        <v>25</v>
      </c>
      <c r="AQ21" t="s">
        <v>24</v>
      </c>
      <c r="AS21" t="s">
        <v>53</v>
      </c>
      <c r="AV21" t="s">
        <v>45</v>
      </c>
      <c r="AX21" t="s">
        <v>2</v>
      </c>
      <c r="AY21" t="s">
        <v>65</v>
      </c>
      <c r="AZ21" t="s">
        <v>24</v>
      </c>
      <c r="BA21" t="s">
        <v>2</v>
      </c>
      <c r="BB21" t="s">
        <v>25</v>
      </c>
      <c r="BD21" t="s">
        <v>36</v>
      </c>
      <c r="BE21" t="s">
        <v>1</v>
      </c>
      <c r="BF21" t="s">
        <v>4</v>
      </c>
      <c r="BK21" t="s">
        <v>8</v>
      </c>
      <c r="BM21" t="s">
        <v>4</v>
      </c>
      <c r="BN21" t="s">
        <v>27</v>
      </c>
      <c r="BO21" t="s">
        <v>2</v>
      </c>
      <c r="BR21" t="s">
        <v>25</v>
      </c>
      <c r="BS21" t="s">
        <v>45</v>
      </c>
      <c r="BY21" t="s">
        <v>53</v>
      </c>
      <c r="BZ21" t="s">
        <v>36</v>
      </c>
      <c r="CC21" t="s">
        <v>40</v>
      </c>
      <c r="CD21" t="s">
        <v>37</v>
      </c>
    </row>
    <row r="22" spans="1:89" ht="15" customHeight="1" x14ac:dyDescent="0.25">
      <c r="A22" t="s">
        <v>15</v>
      </c>
      <c r="D22" t="s">
        <v>13</v>
      </c>
      <c r="G22" t="s">
        <v>31</v>
      </c>
      <c r="H22" t="s">
        <v>35</v>
      </c>
      <c r="J22" t="s">
        <v>31</v>
      </c>
      <c r="M22" t="s">
        <v>5</v>
      </c>
      <c r="O22" t="s">
        <v>18</v>
      </c>
      <c r="Q22" t="s">
        <v>0</v>
      </c>
      <c r="S22" t="s">
        <v>26</v>
      </c>
      <c r="T22" t="s">
        <v>11</v>
      </c>
      <c r="V22" t="s">
        <v>9</v>
      </c>
      <c r="W22" t="s">
        <v>42</v>
      </c>
      <c r="Y22" t="s">
        <v>41</v>
      </c>
      <c r="AB22" t="s">
        <v>13</v>
      </c>
      <c r="AC22" t="s">
        <v>9</v>
      </c>
      <c r="AE22" t="s">
        <v>15</v>
      </c>
      <c r="AH22" t="s">
        <v>33</v>
      </c>
      <c r="AL22" t="s">
        <v>5</v>
      </c>
      <c r="AM22" t="s">
        <v>33</v>
      </c>
      <c r="AQ22" t="s">
        <v>35</v>
      </c>
      <c r="AS22" t="s">
        <v>13</v>
      </c>
      <c r="AV22" t="s">
        <v>0</v>
      </c>
      <c r="AX22" t="s">
        <v>66</v>
      </c>
      <c r="AY22" t="s">
        <v>47</v>
      </c>
      <c r="AZ22" t="s">
        <v>31</v>
      </c>
      <c r="BA22" t="s">
        <v>19</v>
      </c>
      <c r="BB22" t="s">
        <v>22</v>
      </c>
      <c r="BD22" t="s">
        <v>41</v>
      </c>
      <c r="BE22" t="s">
        <v>22</v>
      </c>
      <c r="BF22" t="s">
        <v>0</v>
      </c>
      <c r="BK22" t="s">
        <v>23</v>
      </c>
      <c r="BM22" t="s">
        <v>31</v>
      </c>
      <c r="BN22" t="s">
        <v>31</v>
      </c>
      <c r="BO22" t="s">
        <v>41</v>
      </c>
      <c r="BR22" t="s">
        <v>13</v>
      </c>
      <c r="BS22" t="s">
        <v>23</v>
      </c>
      <c r="BY22" t="s">
        <v>35</v>
      </c>
      <c r="BZ22" t="s">
        <v>18</v>
      </c>
      <c r="CC22" t="s">
        <v>59</v>
      </c>
      <c r="CD22" t="s">
        <v>55</v>
      </c>
    </row>
    <row r="23" spans="1:89" ht="15" customHeight="1" x14ac:dyDescent="0.25">
      <c r="A23" t="s">
        <v>67</v>
      </c>
      <c r="D23" t="s">
        <v>23</v>
      </c>
      <c r="G23" t="s">
        <v>5</v>
      </c>
      <c r="H23" t="s">
        <v>46</v>
      </c>
      <c r="J23" t="s">
        <v>72</v>
      </c>
      <c r="M23" t="s">
        <v>26</v>
      </c>
      <c r="O23" t="s">
        <v>51</v>
      </c>
      <c r="Q23" t="s">
        <v>9</v>
      </c>
      <c r="S23" t="s">
        <v>47</v>
      </c>
      <c r="T23" t="s">
        <v>12</v>
      </c>
      <c r="V23" t="s">
        <v>34</v>
      </c>
      <c r="W23" t="s">
        <v>34</v>
      </c>
      <c r="Y23" t="s">
        <v>38</v>
      </c>
      <c r="AB23" t="s">
        <v>12</v>
      </c>
      <c r="AC23" t="s">
        <v>72</v>
      </c>
      <c r="AE23" t="s">
        <v>52</v>
      </c>
      <c r="AH23" t="s">
        <v>35</v>
      </c>
      <c r="AL23" t="s">
        <v>23</v>
      </c>
      <c r="AM23" t="s">
        <v>78</v>
      </c>
      <c r="AQ23" t="s">
        <v>26</v>
      </c>
      <c r="AS23" t="s">
        <v>18</v>
      </c>
      <c r="AV23" t="s">
        <v>26</v>
      </c>
      <c r="AX23" t="s">
        <v>19</v>
      </c>
      <c r="AY23" t="s">
        <v>51</v>
      </c>
      <c r="AZ23" t="s">
        <v>35</v>
      </c>
      <c r="BA23" t="s">
        <v>46</v>
      </c>
      <c r="BB23" t="s">
        <v>0</v>
      </c>
      <c r="BD23" t="s">
        <v>19</v>
      </c>
      <c r="BE23" t="s">
        <v>9</v>
      </c>
      <c r="BF23" t="s">
        <v>42</v>
      </c>
      <c r="BK23" t="s">
        <v>0</v>
      </c>
      <c r="BM23" t="s">
        <v>44</v>
      </c>
      <c r="BN23" t="s">
        <v>44</v>
      </c>
      <c r="BO23" t="s">
        <v>46</v>
      </c>
      <c r="BR23" t="s">
        <v>47</v>
      </c>
      <c r="BS23" t="s">
        <v>47</v>
      </c>
      <c r="BY23" t="s">
        <v>72</v>
      </c>
      <c r="BZ23" t="s">
        <v>34</v>
      </c>
      <c r="CC23" t="s">
        <v>63</v>
      </c>
      <c r="CD23" t="s">
        <v>21</v>
      </c>
    </row>
    <row r="24" spans="1:89" ht="15" customHeight="1" x14ac:dyDescent="0.25">
      <c r="A24" t="s">
        <v>28</v>
      </c>
      <c r="G24" t="s">
        <v>2</v>
      </c>
      <c r="H24" t="s">
        <v>16</v>
      </c>
      <c r="J24" t="s">
        <v>7</v>
      </c>
      <c r="M24" t="s">
        <v>56</v>
      </c>
      <c r="O24" t="s">
        <v>62</v>
      </c>
      <c r="Q24" t="s">
        <v>53</v>
      </c>
      <c r="S24" t="s">
        <v>56</v>
      </c>
      <c r="T24" t="s">
        <v>8</v>
      </c>
      <c r="V24" t="s">
        <v>8</v>
      </c>
      <c r="W24" t="s">
        <v>45</v>
      </c>
      <c r="Y24" t="s">
        <v>1</v>
      </c>
      <c r="AB24" t="s">
        <v>4</v>
      </c>
      <c r="AC24" t="s">
        <v>43</v>
      </c>
      <c r="AE24" t="s">
        <v>3</v>
      </c>
      <c r="AL24" t="s">
        <v>56</v>
      </c>
      <c r="AM24" t="s">
        <v>3</v>
      </c>
      <c r="AQ24" t="s">
        <v>3</v>
      </c>
      <c r="AS24" t="s">
        <v>16</v>
      </c>
      <c r="AV24" t="s">
        <v>30</v>
      </c>
      <c r="AY24" t="s">
        <v>30</v>
      </c>
      <c r="AZ24" t="s">
        <v>27</v>
      </c>
      <c r="BA24" t="s">
        <v>3</v>
      </c>
      <c r="BB24" t="s">
        <v>53</v>
      </c>
      <c r="BD24" t="s">
        <v>43</v>
      </c>
      <c r="BE24" t="s">
        <v>39</v>
      </c>
      <c r="BF24" t="s">
        <v>27</v>
      </c>
      <c r="BK24" t="s">
        <v>57</v>
      </c>
      <c r="BM24" t="s">
        <v>40</v>
      </c>
      <c r="BO24" t="s">
        <v>7</v>
      </c>
      <c r="BS24" t="s">
        <v>1</v>
      </c>
      <c r="BY24" t="s">
        <v>39</v>
      </c>
      <c r="BZ24" t="s">
        <v>2</v>
      </c>
      <c r="CC24" t="s">
        <v>30</v>
      </c>
      <c r="CD24" t="s">
        <v>14</v>
      </c>
    </row>
    <row r="25" spans="1:89" ht="15" customHeight="1" x14ac:dyDescent="0.25">
      <c r="A25" t="s">
        <v>60</v>
      </c>
      <c r="G25" t="s">
        <v>32</v>
      </c>
      <c r="H25" t="s">
        <v>25</v>
      </c>
      <c r="J25" t="s">
        <v>64</v>
      </c>
      <c r="M25" t="s">
        <v>17</v>
      </c>
      <c r="O25" t="s">
        <v>69</v>
      </c>
      <c r="Q25" t="s">
        <v>50</v>
      </c>
      <c r="S25" t="s">
        <v>53</v>
      </c>
      <c r="T25" t="s">
        <v>32</v>
      </c>
      <c r="V25" t="s">
        <v>25</v>
      </c>
      <c r="W25" t="s">
        <v>64</v>
      </c>
      <c r="Y25" t="s">
        <v>64</v>
      </c>
      <c r="AB25" t="s">
        <v>6</v>
      </c>
      <c r="AC25" t="s">
        <v>60</v>
      </c>
      <c r="AE25" t="s">
        <v>24</v>
      </c>
      <c r="AL25" t="s">
        <v>32</v>
      </c>
      <c r="AM25" t="s">
        <v>39</v>
      </c>
      <c r="AQ25" t="s">
        <v>32</v>
      </c>
      <c r="AS25" t="s">
        <v>6</v>
      </c>
      <c r="AV25" t="s">
        <v>32</v>
      </c>
      <c r="AY25" t="s">
        <v>27</v>
      </c>
      <c r="AZ25" t="s">
        <v>17</v>
      </c>
      <c r="BA25" t="s">
        <v>43</v>
      </c>
      <c r="BB25" t="s">
        <v>24</v>
      </c>
      <c r="BD25" t="s">
        <v>61</v>
      </c>
      <c r="BE25" t="s">
        <v>4</v>
      </c>
      <c r="BF25" t="s">
        <v>53</v>
      </c>
      <c r="BK25" t="s">
        <v>27</v>
      </c>
      <c r="BM25" t="s">
        <v>25</v>
      </c>
      <c r="BO25" t="s">
        <v>48</v>
      </c>
      <c r="BS25" t="s">
        <v>50</v>
      </c>
      <c r="BY25" t="s">
        <v>45</v>
      </c>
      <c r="BZ25" t="s">
        <v>8</v>
      </c>
      <c r="CC25" t="s">
        <v>2</v>
      </c>
      <c r="CD25" t="s">
        <v>17</v>
      </c>
    </row>
    <row r="26" spans="1:89" ht="15" customHeight="1" x14ac:dyDescent="0.25">
      <c r="A26" t="s">
        <v>52</v>
      </c>
      <c r="G26" t="s">
        <v>35</v>
      </c>
      <c r="H26" t="s">
        <v>22</v>
      </c>
      <c r="J26" t="s">
        <v>41</v>
      </c>
      <c r="M26" t="s">
        <v>31</v>
      </c>
      <c r="O26" t="s">
        <v>20</v>
      </c>
      <c r="Q26" t="s">
        <v>18</v>
      </c>
      <c r="S26" t="s">
        <v>31</v>
      </c>
      <c r="T26" t="s">
        <v>18</v>
      </c>
      <c r="V26" t="s">
        <v>5</v>
      </c>
      <c r="W26" t="s">
        <v>13</v>
      </c>
      <c r="Y26" t="s">
        <v>11</v>
      </c>
      <c r="AB26" t="s">
        <v>0</v>
      </c>
      <c r="AC26" t="s">
        <v>55</v>
      </c>
      <c r="AE26" t="s">
        <v>5</v>
      </c>
      <c r="AL26" t="s">
        <v>31</v>
      </c>
      <c r="AM26" t="s">
        <v>23</v>
      </c>
      <c r="AQ26" t="s">
        <v>13</v>
      </c>
      <c r="AS26" t="s">
        <v>41</v>
      </c>
      <c r="AV26" t="s">
        <v>13</v>
      </c>
      <c r="AY26" t="s">
        <v>5</v>
      </c>
      <c r="AZ26" t="s">
        <v>44</v>
      </c>
      <c r="BA26" t="s">
        <v>18</v>
      </c>
      <c r="BB26" t="s">
        <v>33</v>
      </c>
      <c r="BD26" t="s">
        <v>29</v>
      </c>
      <c r="BE26" t="s">
        <v>23</v>
      </c>
      <c r="BF26" t="s">
        <v>44</v>
      </c>
      <c r="BK26" t="s">
        <v>20</v>
      </c>
      <c r="BM26" t="s">
        <v>59</v>
      </c>
      <c r="BO26" t="s">
        <v>58</v>
      </c>
      <c r="BS26" t="s">
        <v>38</v>
      </c>
      <c r="BY26" t="s">
        <v>0</v>
      </c>
      <c r="BZ26" t="s">
        <v>13</v>
      </c>
      <c r="CC26" t="s">
        <v>0</v>
      </c>
      <c r="CD26" t="s">
        <v>29</v>
      </c>
    </row>
    <row r="27" spans="1:89" ht="15" customHeight="1" x14ac:dyDescent="0.25">
      <c r="A27" t="s">
        <v>73</v>
      </c>
      <c r="G27" t="s">
        <v>46</v>
      </c>
      <c r="H27" t="s">
        <v>33</v>
      </c>
      <c r="J27" t="s">
        <v>22</v>
      </c>
      <c r="M27" t="s">
        <v>0</v>
      </c>
      <c r="O27" t="s">
        <v>46</v>
      </c>
      <c r="Q27" t="s">
        <v>11</v>
      </c>
      <c r="S27" t="s">
        <v>33</v>
      </c>
      <c r="T27" t="s">
        <v>35</v>
      </c>
      <c r="V27" t="s">
        <v>12</v>
      </c>
      <c r="W27" t="s">
        <v>46</v>
      </c>
      <c r="Y27" t="s">
        <v>66</v>
      </c>
      <c r="AB27" t="s">
        <v>26</v>
      </c>
      <c r="AC27" t="s">
        <v>15</v>
      </c>
      <c r="AE27" t="s">
        <v>44</v>
      </c>
      <c r="AL27" t="s">
        <v>35</v>
      </c>
      <c r="AM27" t="s">
        <v>51</v>
      </c>
      <c r="AQ27" t="s">
        <v>33</v>
      </c>
      <c r="AS27" t="s">
        <v>9</v>
      </c>
      <c r="AV27" t="s">
        <v>5</v>
      </c>
      <c r="AY27" t="s">
        <v>44</v>
      </c>
      <c r="AZ27" t="s">
        <v>51</v>
      </c>
      <c r="BA27" t="s">
        <v>38</v>
      </c>
      <c r="BB27" t="s">
        <v>72</v>
      </c>
      <c r="BD27" t="s">
        <v>15</v>
      </c>
      <c r="BE27" t="s">
        <v>12</v>
      </c>
      <c r="BF27" t="s">
        <v>35</v>
      </c>
      <c r="BK27" t="s">
        <v>47</v>
      </c>
      <c r="BM27" t="s">
        <v>26</v>
      </c>
      <c r="BO27" t="s">
        <v>34</v>
      </c>
      <c r="BS27" t="s">
        <v>15</v>
      </c>
      <c r="BY27" t="s">
        <v>47</v>
      </c>
      <c r="BZ27" t="s">
        <v>5</v>
      </c>
      <c r="CC27" t="s">
        <v>19</v>
      </c>
      <c r="CD27" t="s">
        <v>9</v>
      </c>
    </row>
    <row r="28" spans="1:89" ht="15" customHeight="1" x14ac:dyDescent="0.25">
      <c r="A28" t="s">
        <v>1</v>
      </c>
      <c r="G28" t="s">
        <v>8</v>
      </c>
      <c r="M28" t="s">
        <v>27</v>
      </c>
      <c r="O28" t="s">
        <v>16</v>
      </c>
      <c r="S28" t="s">
        <v>27</v>
      </c>
      <c r="T28" t="s">
        <v>28</v>
      </c>
      <c r="V28" t="s">
        <v>1</v>
      </c>
      <c r="W28" t="s">
        <v>56</v>
      </c>
      <c r="Y28" t="s">
        <v>16</v>
      </c>
      <c r="AB28" t="s">
        <v>30</v>
      </c>
      <c r="AC28" t="s">
        <v>32</v>
      </c>
      <c r="AL28" t="s">
        <v>43</v>
      </c>
      <c r="AM28" t="s">
        <v>17</v>
      </c>
      <c r="AS28" t="s">
        <v>62</v>
      </c>
      <c r="AV28" t="s">
        <v>7</v>
      </c>
      <c r="AY28" t="s">
        <v>62</v>
      </c>
      <c r="AZ28" t="s">
        <v>56</v>
      </c>
      <c r="BA28" t="s">
        <v>39</v>
      </c>
      <c r="BB28" t="s">
        <v>45</v>
      </c>
      <c r="BD28" t="s">
        <v>54</v>
      </c>
      <c r="BE28" t="s">
        <v>3</v>
      </c>
      <c r="BF28" t="s">
        <v>56</v>
      </c>
      <c r="BK28" t="s">
        <v>14</v>
      </c>
      <c r="BS28" t="s">
        <v>10</v>
      </c>
      <c r="CC28" t="s">
        <v>7</v>
      </c>
      <c r="CD28" t="s">
        <v>1</v>
      </c>
    </row>
    <row r="29" spans="1:89" ht="15" customHeight="1" x14ac:dyDescent="0.25">
      <c r="A29" t="s">
        <v>39</v>
      </c>
      <c r="G29" t="s">
        <v>65</v>
      </c>
      <c r="M29" t="s">
        <v>32</v>
      </c>
      <c r="O29" t="s">
        <v>4</v>
      </c>
      <c r="S29" t="s">
        <v>45</v>
      </c>
      <c r="T29" t="s">
        <v>36</v>
      </c>
      <c r="V29" t="s">
        <v>39</v>
      </c>
      <c r="W29" t="s">
        <v>57</v>
      </c>
      <c r="Y29" t="s">
        <v>7</v>
      </c>
      <c r="AB29" t="s">
        <v>45</v>
      </c>
      <c r="AC29" t="s">
        <v>53</v>
      </c>
      <c r="AL29" t="s">
        <v>64</v>
      </c>
      <c r="AM29" t="s">
        <v>65</v>
      </c>
      <c r="AS29" t="s">
        <v>24</v>
      </c>
      <c r="AV29" t="s">
        <v>36</v>
      </c>
      <c r="AY29" t="s">
        <v>64</v>
      </c>
      <c r="AZ29" t="s">
        <v>25</v>
      </c>
      <c r="BA29" t="s">
        <v>45</v>
      </c>
      <c r="BB29" t="s">
        <v>64</v>
      </c>
      <c r="BD29" t="s">
        <v>24</v>
      </c>
      <c r="BE29" t="s">
        <v>6</v>
      </c>
      <c r="BF29" t="s">
        <v>32</v>
      </c>
      <c r="BK29" t="s">
        <v>3</v>
      </c>
      <c r="BS29" t="s">
        <v>43</v>
      </c>
      <c r="CC29" t="s">
        <v>48</v>
      </c>
      <c r="CD29" t="s">
        <v>43</v>
      </c>
    </row>
    <row r="30" spans="1:89" ht="15" customHeight="1" x14ac:dyDescent="0.25">
      <c r="A30" t="s">
        <v>77</v>
      </c>
      <c r="G30" t="s">
        <v>13</v>
      </c>
      <c r="M30" t="s">
        <v>23</v>
      </c>
      <c r="O30" t="s">
        <v>41</v>
      </c>
      <c r="S30" t="s">
        <v>13</v>
      </c>
      <c r="T30" t="s">
        <v>9</v>
      </c>
      <c r="V30" t="s">
        <v>23</v>
      </c>
      <c r="W30" t="s">
        <v>5</v>
      </c>
      <c r="Y30" t="s">
        <v>5</v>
      </c>
      <c r="AB30" t="s">
        <v>5</v>
      </c>
      <c r="AC30" t="s">
        <v>5</v>
      </c>
      <c r="AL30" t="s">
        <v>55</v>
      </c>
      <c r="AM30" t="s">
        <v>5</v>
      </c>
      <c r="AS30" t="s">
        <v>23</v>
      </c>
      <c r="AV30" t="s">
        <v>20</v>
      </c>
      <c r="AY30" t="s">
        <v>20</v>
      </c>
      <c r="AZ30" t="s">
        <v>5</v>
      </c>
      <c r="BA30" t="s">
        <v>5</v>
      </c>
      <c r="BB30" t="s">
        <v>5</v>
      </c>
      <c r="BD30" t="s">
        <v>5</v>
      </c>
      <c r="BE30" t="s">
        <v>5</v>
      </c>
      <c r="BF30" t="s">
        <v>26</v>
      </c>
      <c r="BK30" t="s">
        <v>31</v>
      </c>
      <c r="BS30" t="s">
        <v>29</v>
      </c>
      <c r="CC30" t="s">
        <v>22</v>
      </c>
      <c r="CD30" t="s">
        <v>49</v>
      </c>
    </row>
    <row r="31" spans="1:89" ht="15" customHeight="1" x14ac:dyDescent="0.25">
      <c r="A31" t="s">
        <v>26</v>
      </c>
      <c r="G31" t="s">
        <v>51</v>
      </c>
      <c r="M31" t="s">
        <v>47</v>
      </c>
      <c r="O31" t="s">
        <v>22</v>
      </c>
      <c r="S31" t="s">
        <v>51</v>
      </c>
      <c r="T31" t="s">
        <v>34</v>
      </c>
      <c r="V31" t="s">
        <v>11</v>
      </c>
      <c r="W31" t="s">
        <v>59</v>
      </c>
      <c r="Y31" t="s">
        <v>23</v>
      </c>
      <c r="AB31" t="s">
        <v>23</v>
      </c>
      <c r="AC31" t="s">
        <v>33</v>
      </c>
      <c r="AL31" t="s">
        <v>34</v>
      </c>
      <c r="AM31" t="s">
        <v>44</v>
      </c>
      <c r="AS31" t="s">
        <v>20</v>
      </c>
      <c r="AV31" t="s">
        <v>79</v>
      </c>
      <c r="AY31" t="s">
        <v>58</v>
      </c>
      <c r="AZ31" t="s">
        <v>33</v>
      </c>
      <c r="BA31" t="s">
        <v>23</v>
      </c>
      <c r="BB31" t="s">
        <v>34</v>
      </c>
      <c r="BD31" t="s">
        <v>46</v>
      </c>
      <c r="BE31" t="s">
        <v>11</v>
      </c>
      <c r="BF31" t="s">
        <v>47</v>
      </c>
      <c r="BK31" t="s">
        <v>35</v>
      </c>
      <c r="BS31" t="s">
        <v>9</v>
      </c>
      <c r="CC31" t="s">
        <v>20</v>
      </c>
      <c r="CD31" t="s">
        <v>52</v>
      </c>
    </row>
    <row r="32" spans="1:89" ht="15" customHeight="1" x14ac:dyDescent="0.25">
      <c r="T32" t="s">
        <v>40</v>
      </c>
      <c r="V32" t="s">
        <v>53</v>
      </c>
      <c r="AC32" t="s">
        <v>27</v>
      </c>
      <c r="AY32" t="s">
        <v>28</v>
      </c>
      <c r="AZ32" t="s">
        <v>30</v>
      </c>
      <c r="BA32" t="s">
        <v>30</v>
      </c>
      <c r="BB32" t="s">
        <v>27</v>
      </c>
      <c r="BD32" t="s">
        <v>30</v>
      </c>
      <c r="BE32" t="s">
        <v>30</v>
      </c>
    </row>
    <row r="33" spans="20:57" ht="15" customHeight="1" x14ac:dyDescent="0.25">
      <c r="T33" t="s">
        <v>48</v>
      </c>
      <c r="V33" t="s">
        <v>24</v>
      </c>
      <c r="AC33" t="s">
        <v>3</v>
      </c>
      <c r="AY33" t="s">
        <v>2</v>
      </c>
      <c r="AZ33" t="s">
        <v>45</v>
      </c>
      <c r="BA33" t="s">
        <v>50</v>
      </c>
      <c r="BB33" t="s">
        <v>32</v>
      </c>
      <c r="BD33" t="s">
        <v>17</v>
      </c>
      <c r="BE33" t="s">
        <v>24</v>
      </c>
    </row>
    <row r="34" spans="20:57" ht="15" customHeight="1" x14ac:dyDescent="0.25">
      <c r="T34" t="s">
        <v>22</v>
      </c>
      <c r="V34" t="s">
        <v>31</v>
      </c>
      <c r="AC34" t="s">
        <v>35</v>
      </c>
      <c r="AY34" t="s">
        <v>70</v>
      </c>
      <c r="AZ34" t="s">
        <v>23</v>
      </c>
      <c r="BA34" t="s">
        <v>44</v>
      </c>
      <c r="BB34" t="s">
        <v>44</v>
      </c>
      <c r="BD34" t="s">
        <v>23</v>
      </c>
      <c r="BE34" t="s">
        <v>31</v>
      </c>
    </row>
    <row r="35" spans="20:57" ht="15" customHeight="1" x14ac:dyDescent="0.25">
      <c r="T35" t="s">
        <v>20</v>
      </c>
      <c r="V35" t="s">
        <v>13</v>
      </c>
      <c r="AC35" t="s">
        <v>26</v>
      </c>
      <c r="AY35" t="s">
        <v>38</v>
      </c>
      <c r="AZ35" t="s">
        <v>0</v>
      </c>
      <c r="BA35" t="s">
        <v>11</v>
      </c>
      <c r="BB35" t="s">
        <v>47</v>
      </c>
      <c r="BD35" t="s">
        <v>35</v>
      </c>
      <c r="BE35" t="s">
        <v>18</v>
      </c>
    </row>
    <row r="36" spans="20:57" ht="15" customHeight="1" x14ac:dyDescent="0.25"/>
    <row r="37" spans="20:57" ht="15" customHeight="1" x14ac:dyDescent="0.25"/>
    <row r="38" spans="20:57" ht="15" customHeight="1" x14ac:dyDescent="0.25"/>
    <row r="39" spans="20:57" ht="15" customHeight="1" x14ac:dyDescent="0.25"/>
    <row r="40" spans="20:57" ht="15" customHeight="1" x14ac:dyDescent="0.25"/>
    <row r="41" spans="20:57" ht="15" customHeight="1" x14ac:dyDescent="0.25"/>
    <row r="42" spans="20:57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Y14"/>
  <sheetViews>
    <sheetView tabSelected="1" topLeftCell="BH1" zoomScale="96" zoomScaleNormal="96" workbookViewId="0">
      <selection activeCell="BK20" sqref="BK20"/>
    </sheetView>
  </sheetViews>
  <sheetFormatPr defaultRowHeight="14.45" customHeight="1" x14ac:dyDescent="0.25"/>
  <cols>
    <col min="1" max="1" width="79" customWidth="1"/>
    <col min="2" max="2" width="46.42578125" customWidth="1"/>
    <col min="3" max="3" width="72.140625" customWidth="1"/>
    <col min="4" max="4" width="58.28515625" customWidth="1"/>
    <col min="5" max="5" width="62.5703125" customWidth="1"/>
    <col min="6" max="6" width="79.42578125" customWidth="1"/>
    <col min="7" max="7" width="74" customWidth="1"/>
    <col min="8" max="8" width="71.140625" customWidth="1"/>
    <col min="9" max="9" width="70.7109375" customWidth="1"/>
    <col min="10" max="10" width="60.140625" customWidth="1"/>
    <col min="11" max="11" width="73" customWidth="1"/>
    <col min="12" max="12" width="58.28515625" customWidth="1"/>
    <col min="13" max="13" width="57.42578125" customWidth="1"/>
    <col min="14" max="14" width="59.7109375" customWidth="1"/>
    <col min="15" max="15" width="73.85546875" customWidth="1"/>
    <col min="16" max="16" width="64.85546875" customWidth="1"/>
    <col min="17" max="17" width="70.28515625" customWidth="1"/>
    <col min="18" max="18" width="66.140625" customWidth="1"/>
    <col min="19" max="19" width="41.5703125" customWidth="1"/>
    <col min="20" max="20" width="31.140625" customWidth="1"/>
    <col min="21" max="21" width="62.42578125" customWidth="1"/>
    <col min="23" max="23" width="14.5703125" customWidth="1"/>
    <col min="24" max="24" width="48.42578125" customWidth="1"/>
    <col min="25" max="25" width="44" customWidth="1"/>
    <col min="26" max="26" width="69.42578125" customWidth="1"/>
    <col min="27" max="27" width="68.85546875" customWidth="1"/>
    <col min="28" max="28" width="44.140625" customWidth="1"/>
    <col min="29" max="29" width="64.28515625" customWidth="1"/>
    <col min="30" max="30" width="46.85546875" customWidth="1"/>
    <col min="31" max="31" width="53.140625" customWidth="1"/>
    <col min="32" max="32" width="57.42578125" customWidth="1"/>
    <col min="33" max="33" width="55.140625" customWidth="1"/>
    <col min="34" max="34" width="60.85546875" customWidth="1"/>
    <col min="35" max="35" width="48.140625" customWidth="1"/>
    <col min="36" max="36" width="54.5703125" customWidth="1"/>
    <col min="37" max="37" width="80" customWidth="1"/>
    <col min="38" max="38" width="79.28515625" customWidth="1"/>
    <col min="39" max="39" width="71.85546875" customWidth="1"/>
    <col min="40" max="40" width="62.7109375" customWidth="1"/>
    <col min="41" max="41" width="53.28515625" customWidth="1"/>
    <col min="42" max="42" width="63.5703125" customWidth="1"/>
    <col min="43" max="44" width="70.5703125" customWidth="1"/>
    <col min="45" max="45" width="60.7109375" customWidth="1"/>
    <col min="46" max="46" width="54.42578125" customWidth="1"/>
    <col min="47" max="47" width="85.140625" customWidth="1"/>
    <col min="48" max="48" width="52.5703125" customWidth="1"/>
    <col min="49" max="49" width="18.42578125" customWidth="1"/>
    <col min="50" max="50" width="66.42578125" customWidth="1"/>
    <col min="51" max="51" width="48.85546875" customWidth="1"/>
    <col min="52" max="52" width="27.7109375" customWidth="1"/>
    <col min="53" max="53" width="51.85546875" customWidth="1"/>
    <col min="54" max="54" width="67.7109375" customWidth="1"/>
    <col min="55" max="55" width="13.7109375" customWidth="1"/>
    <col min="56" max="56" width="51.7109375" customWidth="1"/>
    <col min="57" max="57" width="23.42578125" customWidth="1"/>
    <col min="58" max="58" width="46.42578125" customWidth="1"/>
    <col min="59" max="59" width="58.140625" customWidth="1"/>
    <col min="60" max="60" width="57.42578125" customWidth="1"/>
    <col min="61" max="61" width="49.140625" customWidth="1"/>
    <col min="62" max="62" width="25.5703125" customWidth="1"/>
    <col min="63" max="63" width="12.7109375" customWidth="1"/>
    <col min="64" max="64" width="47.85546875" customWidth="1"/>
    <col min="65" max="65" width="65" customWidth="1"/>
    <col min="66" max="66" width="53.7109375" customWidth="1"/>
    <col min="67" max="67" width="73.85546875" customWidth="1"/>
    <col min="68" max="68" width="67.140625" customWidth="1"/>
    <col min="69" max="69" width="57.85546875" customWidth="1"/>
    <col min="71" max="71" width="19.28515625" customWidth="1"/>
    <col min="72" max="72" width="55.7109375" customWidth="1"/>
    <col min="80" max="80" width="9.28515625" customWidth="1"/>
    <col min="81" max="81" width="66.140625" customWidth="1"/>
    <col min="82" max="82" width="56.28515625" customWidth="1"/>
    <col min="83" max="83" width="41.28515625" customWidth="1"/>
    <col min="84" max="84" width="75.7109375" customWidth="1"/>
    <col min="85" max="85" width="65.7109375" customWidth="1"/>
    <col min="86" max="86" width="52.28515625" customWidth="1"/>
    <col min="87" max="87" width="49.7109375" customWidth="1"/>
    <col min="93" max="93" width="44.42578125" customWidth="1"/>
    <col min="94" max="94" width="54.28515625" customWidth="1"/>
    <col min="105" max="105" width="66.85546875" customWidth="1"/>
  </cols>
  <sheetData>
    <row r="3" spans="1:103" ht="15" customHeight="1" x14ac:dyDescent="0.25">
      <c r="A3" t="s">
        <v>82</v>
      </c>
      <c r="B3" t="s">
        <v>83</v>
      </c>
      <c r="C3" t="s">
        <v>86</v>
      </c>
      <c r="D3" t="s">
        <v>84</v>
      </c>
      <c r="E3" t="s">
        <v>91</v>
      </c>
      <c r="F3" t="s">
        <v>107</v>
      </c>
      <c r="G3" t="s">
        <v>89</v>
      </c>
      <c r="H3" t="s">
        <v>92</v>
      </c>
      <c r="I3" t="s">
        <v>94</v>
      </c>
      <c r="J3" t="s">
        <v>85</v>
      </c>
      <c r="K3" t="s">
        <v>104</v>
      </c>
      <c r="L3" t="s">
        <v>93</v>
      </c>
      <c r="M3" t="s">
        <v>87</v>
      </c>
      <c r="N3" t="s">
        <v>96</v>
      </c>
      <c r="O3" t="s">
        <v>88</v>
      </c>
      <c r="P3" t="s">
        <v>120</v>
      </c>
      <c r="Q3" t="s">
        <v>102</v>
      </c>
      <c r="R3" t="s">
        <v>105</v>
      </c>
      <c r="S3" t="s">
        <v>109</v>
      </c>
      <c r="T3" t="s">
        <v>95</v>
      </c>
      <c r="U3" t="s">
        <v>97</v>
      </c>
      <c r="V3" t="s">
        <v>103</v>
      </c>
      <c r="W3" t="s">
        <v>108</v>
      </c>
      <c r="X3" t="s">
        <v>123</v>
      </c>
      <c r="Y3" t="s">
        <v>110</v>
      </c>
      <c r="Z3" t="s">
        <v>127</v>
      </c>
      <c r="AA3" t="s">
        <v>112</v>
      </c>
      <c r="AB3" t="s">
        <v>90</v>
      </c>
      <c r="AC3" t="s">
        <v>113</v>
      </c>
      <c r="AD3" t="s">
        <v>140</v>
      </c>
      <c r="AE3" t="s">
        <v>118</v>
      </c>
      <c r="AF3" t="s">
        <v>134</v>
      </c>
      <c r="AG3" t="s">
        <v>121</v>
      </c>
      <c r="AH3" t="s">
        <v>111</v>
      </c>
      <c r="AI3" t="s">
        <v>129</v>
      </c>
      <c r="AJ3" t="s">
        <v>106</v>
      </c>
      <c r="AK3" t="s">
        <v>128</v>
      </c>
      <c r="AL3" t="s">
        <v>117</v>
      </c>
      <c r="AM3" t="s">
        <v>98</v>
      </c>
      <c r="AN3" t="s">
        <v>142</v>
      </c>
      <c r="AO3" t="s">
        <v>124</v>
      </c>
      <c r="AP3" t="s">
        <v>126</v>
      </c>
      <c r="AQ3" t="s">
        <v>114</v>
      </c>
      <c r="AR3" t="s">
        <v>136</v>
      </c>
      <c r="AS3" t="s">
        <v>125</v>
      </c>
      <c r="AT3" t="s">
        <v>147</v>
      </c>
      <c r="AU3" t="s">
        <v>144</v>
      </c>
      <c r="AV3" t="s">
        <v>99</v>
      </c>
      <c r="AW3" t="s">
        <v>150</v>
      </c>
      <c r="AX3" t="s">
        <v>115</v>
      </c>
      <c r="AY3" t="s">
        <v>101</v>
      </c>
      <c r="AZ3" t="s">
        <v>137</v>
      </c>
      <c r="BA3" t="s">
        <v>119</v>
      </c>
      <c r="BB3" t="s">
        <v>131</v>
      </c>
      <c r="BC3" t="s">
        <v>148</v>
      </c>
      <c r="BD3" t="s">
        <v>132</v>
      </c>
      <c r="BE3" t="s">
        <v>133</v>
      </c>
      <c r="BF3" t="s">
        <v>100</v>
      </c>
      <c r="BG3" t="s">
        <v>159</v>
      </c>
      <c r="BH3" t="s">
        <v>141</v>
      </c>
      <c r="BI3" t="s">
        <v>175</v>
      </c>
      <c r="BJ3" t="s">
        <v>164</v>
      </c>
      <c r="BK3" t="s">
        <v>149</v>
      </c>
      <c r="BL3" t="s">
        <v>162</v>
      </c>
      <c r="BM3" t="s">
        <v>145</v>
      </c>
      <c r="BN3" t="s">
        <v>138</v>
      </c>
      <c r="BO3" t="s">
        <v>116</v>
      </c>
      <c r="BP3" t="s">
        <v>163</v>
      </c>
      <c r="BQ3" t="s">
        <v>168</v>
      </c>
      <c r="BR3" t="s">
        <v>122</v>
      </c>
      <c r="BS3" t="s">
        <v>154</v>
      </c>
      <c r="BT3" t="s">
        <v>157</v>
      </c>
      <c r="BU3" t="s">
        <v>173</v>
      </c>
      <c r="BV3" t="s">
        <v>152</v>
      </c>
      <c r="BW3" t="s">
        <v>155</v>
      </c>
      <c r="BX3" t="s">
        <v>170</v>
      </c>
      <c r="BY3" t="s">
        <v>139</v>
      </c>
      <c r="BZ3" t="s">
        <v>146</v>
      </c>
      <c r="CA3" t="s">
        <v>179</v>
      </c>
      <c r="CB3" t="s">
        <v>160</v>
      </c>
      <c r="CC3" t="s">
        <v>130</v>
      </c>
      <c r="CD3" t="s">
        <v>135</v>
      </c>
      <c r="CE3" t="s">
        <v>167</v>
      </c>
      <c r="CF3" t="s">
        <v>143</v>
      </c>
      <c r="CG3" t="s">
        <v>172</v>
      </c>
      <c r="CH3" t="s">
        <v>151</v>
      </c>
      <c r="CI3" t="s">
        <v>153</v>
      </c>
      <c r="CJ3" t="s">
        <v>166</v>
      </c>
      <c r="CK3" t="s">
        <v>171</v>
      </c>
      <c r="CL3" t="s">
        <v>156</v>
      </c>
      <c r="CM3" t="s">
        <v>176</v>
      </c>
      <c r="CN3" t="s">
        <v>177</v>
      </c>
      <c r="CO3" t="s">
        <v>158</v>
      </c>
      <c r="CP3" t="s">
        <v>178</v>
      </c>
      <c r="CQ3" t="s">
        <v>161</v>
      </c>
      <c r="CR3" t="s">
        <v>180</v>
      </c>
      <c r="CS3" t="s">
        <v>165</v>
      </c>
      <c r="CT3" t="s">
        <v>181</v>
      </c>
      <c r="CU3" t="s">
        <v>182</v>
      </c>
      <c r="CV3" t="s">
        <v>169</v>
      </c>
      <c r="CW3" t="s">
        <v>183</v>
      </c>
      <c r="CX3" t="s">
        <v>174</v>
      </c>
      <c r="CY3" t="s">
        <v>184</v>
      </c>
    </row>
    <row r="4" spans="1:103" ht="15" customHeight="1" x14ac:dyDescent="0.25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  <c r="H4" t="s">
        <v>193</v>
      </c>
      <c r="I4" t="s">
        <v>194</v>
      </c>
      <c r="J4" t="s">
        <v>288</v>
      </c>
      <c r="K4" t="s">
        <v>195</v>
      </c>
      <c r="L4" t="s">
        <v>196</v>
      </c>
      <c r="M4" t="s">
        <v>197</v>
      </c>
      <c r="N4" t="s">
        <v>198</v>
      </c>
      <c r="O4" t="s">
        <v>199</v>
      </c>
      <c r="P4" t="s">
        <v>200</v>
      </c>
      <c r="Q4" t="s">
        <v>291</v>
      </c>
      <c r="R4" t="s">
        <v>201</v>
      </c>
      <c r="S4" t="s">
        <v>202</v>
      </c>
      <c r="T4" t="s">
        <v>203</v>
      </c>
      <c r="U4" t="s">
        <v>204</v>
      </c>
      <c r="V4" t="s">
        <v>205</v>
      </c>
      <c r="W4" t="s">
        <v>294</v>
      </c>
      <c r="X4" t="s">
        <v>206</v>
      </c>
      <c r="Y4" t="s">
        <v>207</v>
      </c>
      <c r="Z4" t="s">
        <v>208</v>
      </c>
      <c r="AA4" t="s">
        <v>209</v>
      </c>
      <c r="AB4" t="s">
        <v>210</v>
      </c>
      <c r="AC4" t="s">
        <v>211</v>
      </c>
      <c r="AD4" t="s">
        <v>212</v>
      </c>
      <c r="AE4" t="s">
        <v>213</v>
      </c>
      <c r="AF4" t="s">
        <v>214</v>
      </c>
      <c r="AG4" t="s">
        <v>215</v>
      </c>
      <c r="AH4" t="s">
        <v>216</v>
      </c>
      <c r="AI4" t="s">
        <v>217</v>
      </c>
      <c r="AJ4" t="s">
        <v>218</v>
      </c>
      <c r="AK4" t="s">
        <v>219</v>
      </c>
      <c r="AL4" t="s">
        <v>220</v>
      </c>
      <c r="AM4" t="s">
        <v>221</v>
      </c>
      <c r="AN4" t="s">
        <v>222</v>
      </c>
      <c r="AO4" t="s">
        <v>223</v>
      </c>
      <c r="AP4" t="s">
        <v>224</v>
      </c>
      <c r="AQ4" t="s">
        <v>225</v>
      </c>
      <c r="AR4" t="s">
        <v>226</v>
      </c>
      <c r="AS4" t="s">
        <v>227</v>
      </c>
      <c r="AT4" t="s">
        <v>228</v>
      </c>
      <c r="AU4" t="s">
        <v>229</v>
      </c>
      <c r="AV4" t="s">
        <v>230</v>
      </c>
      <c r="AW4" t="s">
        <v>231</v>
      </c>
      <c r="AX4" t="s">
        <v>232</v>
      </c>
      <c r="AY4" t="s">
        <v>233</v>
      </c>
      <c r="AZ4" t="s">
        <v>234</v>
      </c>
      <c r="BA4" t="s">
        <v>235</v>
      </c>
      <c r="BB4" t="s">
        <v>236</v>
      </c>
      <c r="BC4" t="s">
        <v>237</v>
      </c>
      <c r="BD4" t="s">
        <v>238</v>
      </c>
      <c r="BE4" t="s">
        <v>239</v>
      </c>
      <c r="BF4" t="s">
        <v>240</v>
      </c>
      <c r="BG4" t="s">
        <v>241</v>
      </c>
      <c r="BH4" t="s">
        <v>254</v>
      </c>
      <c r="BI4" t="s">
        <v>242</v>
      </c>
      <c r="BJ4" t="s">
        <v>243</v>
      </c>
      <c r="BK4" t="s">
        <v>244</v>
      </c>
      <c r="BL4" t="s">
        <v>245</v>
      </c>
      <c r="BM4" t="s">
        <v>246</v>
      </c>
      <c r="BN4" t="s">
        <v>247</v>
      </c>
      <c r="BO4" t="s">
        <v>248</v>
      </c>
      <c r="BP4" t="s">
        <v>249</v>
      </c>
      <c r="BQ4" t="s">
        <v>250</v>
      </c>
      <c r="BR4" t="s">
        <v>251</v>
      </c>
      <c r="BS4" t="s">
        <v>252</v>
      </c>
      <c r="BT4" t="s">
        <v>253</v>
      </c>
      <c r="BU4" t="s">
        <v>254</v>
      </c>
      <c r="BV4" t="s">
        <v>255</v>
      </c>
      <c r="BW4" t="s">
        <v>256</v>
      </c>
      <c r="BX4" t="s">
        <v>257</v>
      </c>
      <c r="BY4" t="s">
        <v>258</v>
      </c>
      <c r="BZ4" t="s">
        <v>259</v>
      </c>
      <c r="CA4" t="s">
        <v>260</v>
      </c>
      <c r="CB4" t="s">
        <v>261</v>
      </c>
      <c r="CC4" t="s">
        <v>262</v>
      </c>
      <c r="CD4" t="s">
        <v>263</v>
      </c>
      <c r="CE4" t="s">
        <v>264</v>
      </c>
      <c r="CF4" t="s">
        <v>265</v>
      </c>
      <c r="CG4" t="s">
        <v>266</v>
      </c>
      <c r="CH4" t="s">
        <v>267</v>
      </c>
      <c r="CI4" t="s">
        <v>268</v>
      </c>
      <c r="CJ4" t="s">
        <v>269</v>
      </c>
      <c r="CK4" t="s">
        <v>270</v>
      </c>
      <c r="CL4" t="s">
        <v>271</v>
      </c>
      <c r="CM4" t="s">
        <v>328</v>
      </c>
      <c r="CN4" t="s">
        <v>329</v>
      </c>
      <c r="CO4" t="s">
        <v>272</v>
      </c>
      <c r="CP4" t="s">
        <v>273</v>
      </c>
      <c r="CQ4" t="s">
        <v>274</v>
      </c>
      <c r="CR4" t="s">
        <v>275</v>
      </c>
      <c r="CS4" t="s">
        <v>276</v>
      </c>
      <c r="CT4" t="s">
        <v>277</v>
      </c>
      <c r="CU4" t="s">
        <v>278</v>
      </c>
      <c r="CV4" t="s">
        <v>279</v>
      </c>
      <c r="CW4" t="s">
        <v>280</v>
      </c>
      <c r="CX4" t="s">
        <v>281</v>
      </c>
      <c r="CY4" t="s">
        <v>282</v>
      </c>
    </row>
    <row r="5" spans="1:103" ht="15" customHeight="1" x14ac:dyDescent="0.25">
      <c r="A5" t="s">
        <v>283</v>
      </c>
      <c r="B5" t="s">
        <v>284</v>
      </c>
      <c r="D5" t="s">
        <v>285</v>
      </c>
      <c r="G5" t="s">
        <v>286</v>
      </c>
      <c r="H5" t="s">
        <v>287</v>
      </c>
      <c r="J5" t="s">
        <v>338</v>
      </c>
      <c r="L5" t="s">
        <v>289</v>
      </c>
      <c r="M5" t="s">
        <v>290</v>
      </c>
      <c r="O5" t="s">
        <v>340</v>
      </c>
      <c r="Q5" t="s">
        <v>341</v>
      </c>
      <c r="S5" t="s">
        <v>292</v>
      </c>
      <c r="T5" t="s">
        <v>343</v>
      </c>
      <c r="V5" t="s">
        <v>293</v>
      </c>
      <c r="W5" t="s">
        <v>345</v>
      </c>
      <c r="Y5" t="s">
        <v>295</v>
      </c>
      <c r="AA5" t="s">
        <v>389</v>
      </c>
      <c r="AB5" t="s">
        <v>296</v>
      </c>
      <c r="AC5" t="s">
        <v>297</v>
      </c>
      <c r="AE5" t="s">
        <v>298</v>
      </c>
      <c r="AH5" t="s">
        <v>299</v>
      </c>
      <c r="AL5" t="s">
        <v>300</v>
      </c>
      <c r="AM5" t="s">
        <v>301</v>
      </c>
      <c r="AQ5" t="s">
        <v>302</v>
      </c>
      <c r="AS5" t="s">
        <v>303</v>
      </c>
      <c r="AV5" t="s">
        <v>304</v>
      </c>
      <c r="AX5" t="s">
        <v>305</v>
      </c>
      <c r="AY5" t="s">
        <v>399</v>
      </c>
      <c r="AZ5" t="s">
        <v>306</v>
      </c>
      <c r="BA5" t="s">
        <v>307</v>
      </c>
      <c r="BB5" t="s">
        <v>308</v>
      </c>
      <c r="BD5" t="s">
        <v>309</v>
      </c>
      <c r="BE5" t="s">
        <v>310</v>
      </c>
      <c r="BF5" t="s">
        <v>311</v>
      </c>
      <c r="BH5" t="s">
        <v>253</v>
      </c>
      <c r="BK5" t="s">
        <v>312</v>
      </c>
      <c r="BM5" t="s">
        <v>313</v>
      </c>
      <c r="BN5" t="s">
        <v>314</v>
      </c>
      <c r="BO5" t="s">
        <v>315</v>
      </c>
      <c r="BR5" t="s">
        <v>316</v>
      </c>
      <c r="BS5" t="s">
        <v>317</v>
      </c>
      <c r="BY5" t="s">
        <v>318</v>
      </c>
      <c r="BZ5" t="s">
        <v>319</v>
      </c>
      <c r="CC5" t="s">
        <v>320</v>
      </c>
      <c r="CD5" t="s">
        <v>321</v>
      </c>
      <c r="CE5" t="s">
        <v>322</v>
      </c>
      <c r="CF5" t="s">
        <v>323</v>
      </c>
      <c r="CH5" t="s">
        <v>324</v>
      </c>
      <c r="CI5" t="s">
        <v>325</v>
      </c>
      <c r="CJ5" t="s">
        <v>373</v>
      </c>
      <c r="CK5" t="s">
        <v>326</v>
      </c>
      <c r="CL5" t="s">
        <v>327</v>
      </c>
      <c r="CM5" t="s">
        <v>419</v>
      </c>
      <c r="CN5" t="s">
        <v>375</v>
      </c>
      <c r="CO5" t="s">
        <v>330</v>
      </c>
      <c r="CP5" t="s">
        <v>331</v>
      </c>
      <c r="CQ5" t="s">
        <v>332</v>
      </c>
      <c r="CR5" t="s">
        <v>333</v>
      </c>
      <c r="CS5" t="s">
        <v>334</v>
      </c>
    </row>
    <row r="6" spans="1:103" ht="15" customHeight="1" x14ac:dyDescent="0.25">
      <c r="A6" t="s">
        <v>335</v>
      </c>
      <c r="D6" t="s">
        <v>377</v>
      </c>
      <c r="G6" t="s">
        <v>336</v>
      </c>
      <c r="H6" t="s">
        <v>337</v>
      </c>
      <c r="J6" t="s">
        <v>380</v>
      </c>
      <c r="M6" t="s">
        <v>339</v>
      </c>
      <c r="O6" t="s">
        <v>382</v>
      </c>
      <c r="Q6" t="s">
        <v>383</v>
      </c>
      <c r="S6" t="s">
        <v>342</v>
      </c>
      <c r="T6" t="s">
        <v>385</v>
      </c>
      <c r="V6" t="s">
        <v>344</v>
      </c>
      <c r="W6" t="s">
        <v>387</v>
      </c>
      <c r="Y6" t="s">
        <v>346</v>
      </c>
      <c r="AB6" t="s">
        <v>347</v>
      </c>
      <c r="AC6" t="s">
        <v>348</v>
      </c>
      <c r="AE6" t="s">
        <v>349</v>
      </c>
      <c r="AH6" t="s">
        <v>350</v>
      </c>
      <c r="AL6" t="s">
        <v>351</v>
      </c>
      <c r="AM6" t="s">
        <v>352</v>
      </c>
      <c r="AQ6" t="s">
        <v>353</v>
      </c>
      <c r="AS6" t="s">
        <v>354</v>
      </c>
      <c r="AV6" t="s">
        <v>355</v>
      </c>
      <c r="AX6" t="s">
        <v>398</v>
      </c>
      <c r="AY6" t="s">
        <v>441</v>
      </c>
      <c r="AZ6" t="s">
        <v>356</v>
      </c>
      <c r="BA6" t="s">
        <v>357</v>
      </c>
      <c r="BB6" t="s">
        <v>358</v>
      </c>
      <c r="BD6" t="s">
        <v>359</v>
      </c>
      <c r="BE6" t="s">
        <v>360</v>
      </c>
      <c r="BF6" t="s">
        <v>361</v>
      </c>
      <c r="BK6" t="s">
        <v>362</v>
      </c>
      <c r="BM6" t="s">
        <v>363</v>
      </c>
      <c r="BN6" t="s">
        <v>364</v>
      </c>
      <c r="BO6" t="s">
        <v>365</v>
      </c>
      <c r="BR6" t="s">
        <v>366</v>
      </c>
      <c r="BS6" t="s">
        <v>452</v>
      </c>
      <c r="BY6" t="s">
        <v>367</v>
      </c>
      <c r="BZ6" t="s">
        <v>368</v>
      </c>
      <c r="CC6" t="s">
        <v>369</v>
      </c>
      <c r="CD6" t="s">
        <v>370</v>
      </c>
      <c r="CH6" t="s">
        <v>371</v>
      </c>
      <c r="CI6" t="s">
        <v>372</v>
      </c>
      <c r="CJ6" t="s">
        <v>416</v>
      </c>
      <c r="CK6" t="s">
        <v>374</v>
      </c>
      <c r="CL6" t="s">
        <v>418</v>
      </c>
    </row>
    <row r="7" spans="1:103" ht="15" customHeight="1" x14ac:dyDescent="0.25">
      <c r="A7" t="s">
        <v>376</v>
      </c>
      <c r="D7" t="s">
        <v>421</v>
      </c>
      <c r="G7" t="s">
        <v>378</v>
      </c>
      <c r="H7" t="s">
        <v>379</v>
      </c>
      <c r="J7" t="s">
        <v>424</v>
      </c>
      <c r="M7" t="s">
        <v>381</v>
      </c>
      <c r="O7" t="s">
        <v>426</v>
      </c>
      <c r="Q7" t="s">
        <v>427</v>
      </c>
      <c r="S7" t="s">
        <v>384</v>
      </c>
      <c r="T7" t="s">
        <v>428</v>
      </c>
      <c r="V7" t="s">
        <v>386</v>
      </c>
      <c r="W7" t="s">
        <v>430</v>
      </c>
      <c r="Y7" t="s">
        <v>388</v>
      </c>
      <c r="AB7" t="s">
        <v>390</v>
      </c>
      <c r="AC7" t="s">
        <v>391</v>
      </c>
      <c r="AE7" t="s">
        <v>392</v>
      </c>
      <c r="AH7" t="s">
        <v>393</v>
      </c>
      <c r="AL7" t="s">
        <v>436</v>
      </c>
      <c r="AM7" t="s">
        <v>394</v>
      </c>
      <c r="AQ7" t="s">
        <v>395</v>
      </c>
      <c r="AS7" t="s">
        <v>396</v>
      </c>
      <c r="AV7" t="s">
        <v>397</v>
      </c>
      <c r="AX7" t="s">
        <v>440</v>
      </c>
      <c r="AY7" t="s">
        <v>477</v>
      </c>
      <c r="AZ7" t="s">
        <v>400</v>
      </c>
      <c r="BA7" t="s">
        <v>401</v>
      </c>
      <c r="BB7" t="s">
        <v>402</v>
      </c>
      <c r="BD7" t="s">
        <v>403</v>
      </c>
      <c r="BE7" t="s">
        <v>404</v>
      </c>
      <c r="BF7" t="s">
        <v>405</v>
      </c>
      <c r="BK7" t="s">
        <v>448</v>
      </c>
      <c r="BM7" t="s">
        <v>406</v>
      </c>
      <c r="BN7" t="s">
        <v>407</v>
      </c>
      <c r="BO7" t="s">
        <v>408</v>
      </c>
      <c r="BR7" t="s">
        <v>409</v>
      </c>
      <c r="BS7" t="s">
        <v>486</v>
      </c>
      <c r="BY7" t="s">
        <v>410</v>
      </c>
      <c r="BZ7" t="s">
        <v>411</v>
      </c>
      <c r="CC7" t="s">
        <v>412</v>
      </c>
      <c r="CD7" t="s">
        <v>413</v>
      </c>
      <c r="CH7" t="s">
        <v>414</v>
      </c>
      <c r="CI7" t="s">
        <v>415</v>
      </c>
      <c r="CJ7" t="s">
        <v>457</v>
      </c>
      <c r="CK7" t="s">
        <v>417</v>
      </c>
    </row>
    <row r="8" spans="1:103" ht="15" customHeight="1" x14ac:dyDescent="0.25">
      <c r="A8" t="s">
        <v>420</v>
      </c>
      <c r="D8" t="s">
        <v>492</v>
      </c>
      <c r="G8" t="s">
        <v>422</v>
      </c>
      <c r="H8" t="s">
        <v>423</v>
      </c>
      <c r="J8" t="s">
        <v>461</v>
      </c>
      <c r="M8" t="s">
        <v>425</v>
      </c>
      <c r="O8" t="s">
        <v>496</v>
      </c>
      <c r="Q8" t="s">
        <v>463</v>
      </c>
      <c r="S8" t="s">
        <v>464</v>
      </c>
      <c r="T8" t="s">
        <v>465</v>
      </c>
      <c r="V8" t="s">
        <v>429</v>
      </c>
      <c r="W8" t="s">
        <v>467</v>
      </c>
      <c r="Y8" t="s">
        <v>431</v>
      </c>
      <c r="AB8" t="s">
        <v>432</v>
      </c>
      <c r="AC8" t="s">
        <v>433</v>
      </c>
      <c r="AE8" t="s">
        <v>434</v>
      </c>
      <c r="AH8" t="s">
        <v>435</v>
      </c>
      <c r="AL8" t="s">
        <v>472</v>
      </c>
      <c r="AM8" t="s">
        <v>437</v>
      </c>
      <c r="AQ8" t="s">
        <v>438</v>
      </c>
      <c r="AS8" t="s">
        <v>439</v>
      </c>
      <c r="AV8" t="s">
        <v>476</v>
      </c>
      <c r="AX8" t="s">
        <v>507</v>
      </c>
      <c r="AY8" t="s">
        <v>508</v>
      </c>
      <c r="AZ8" t="s">
        <v>442</v>
      </c>
      <c r="BA8" t="s">
        <v>443</v>
      </c>
      <c r="BB8" t="s">
        <v>444</v>
      </c>
      <c r="BD8" t="s">
        <v>445</v>
      </c>
      <c r="BE8" t="s">
        <v>446</v>
      </c>
      <c r="BF8" t="s">
        <v>447</v>
      </c>
      <c r="BK8" t="s">
        <v>483</v>
      </c>
      <c r="BM8" t="s">
        <v>449</v>
      </c>
      <c r="BN8" t="s">
        <v>450</v>
      </c>
      <c r="BO8" t="s">
        <v>485</v>
      </c>
      <c r="BR8" t="s">
        <v>451</v>
      </c>
      <c r="BS8" t="s">
        <v>517</v>
      </c>
      <c r="BY8" t="s">
        <v>453</v>
      </c>
      <c r="BZ8" t="s">
        <v>454</v>
      </c>
      <c r="CC8" t="s">
        <v>455</v>
      </c>
      <c r="CD8" t="s">
        <v>456</v>
      </c>
    </row>
    <row r="9" spans="1:103" ht="15" customHeight="1" x14ac:dyDescent="0.25">
      <c r="A9" t="s">
        <v>458</v>
      </c>
      <c r="G9" t="s">
        <v>459</v>
      </c>
      <c r="H9" t="s">
        <v>460</v>
      </c>
      <c r="J9" t="s">
        <v>494</v>
      </c>
      <c r="M9" t="s">
        <v>462</v>
      </c>
      <c r="O9" t="s">
        <v>520</v>
      </c>
      <c r="Q9" t="s">
        <v>497</v>
      </c>
      <c r="S9" t="s">
        <v>498</v>
      </c>
      <c r="T9" t="s">
        <v>499</v>
      </c>
      <c r="V9" t="s">
        <v>466</v>
      </c>
      <c r="W9" t="s">
        <v>501</v>
      </c>
      <c r="Y9" t="s">
        <v>468</v>
      </c>
      <c r="AB9" t="s">
        <v>469</v>
      </c>
      <c r="AC9" t="s">
        <v>470</v>
      </c>
      <c r="AE9" t="s">
        <v>471</v>
      </c>
      <c r="AL9" t="s">
        <v>504</v>
      </c>
      <c r="AM9" t="s">
        <v>473</v>
      </c>
      <c r="AQ9" t="s">
        <v>474</v>
      </c>
      <c r="AS9" t="s">
        <v>475</v>
      </c>
      <c r="AV9" t="s">
        <v>506</v>
      </c>
      <c r="AY9" t="s">
        <v>529</v>
      </c>
      <c r="AZ9" t="s">
        <v>478</v>
      </c>
      <c r="BA9" t="s">
        <v>510</v>
      </c>
      <c r="BB9" t="s">
        <v>479</v>
      </c>
      <c r="BD9" t="s">
        <v>480</v>
      </c>
      <c r="BE9" t="s">
        <v>481</v>
      </c>
      <c r="BF9" t="s">
        <v>482</v>
      </c>
      <c r="BK9" t="s">
        <v>515</v>
      </c>
      <c r="BM9" t="s">
        <v>484</v>
      </c>
      <c r="BO9" t="s">
        <v>516</v>
      </c>
      <c r="BS9" t="s">
        <v>536</v>
      </c>
      <c r="BY9" t="s">
        <v>487</v>
      </c>
      <c r="BZ9" t="s">
        <v>488</v>
      </c>
      <c r="CC9" t="s">
        <v>489</v>
      </c>
      <c r="CD9" t="s">
        <v>490</v>
      </c>
    </row>
    <row r="10" spans="1:103" ht="15" customHeight="1" x14ac:dyDescent="0.25">
      <c r="A10" t="s">
        <v>491</v>
      </c>
      <c r="G10" t="s">
        <v>493</v>
      </c>
      <c r="M10" t="s">
        <v>495</v>
      </c>
      <c r="O10" t="s">
        <v>537</v>
      </c>
      <c r="S10" t="s">
        <v>521</v>
      </c>
      <c r="T10" t="s">
        <v>538</v>
      </c>
      <c r="V10" t="s">
        <v>500</v>
      </c>
      <c r="W10" t="s">
        <v>523</v>
      </c>
      <c r="Y10" t="s">
        <v>524</v>
      </c>
      <c r="AB10" t="s">
        <v>502</v>
      </c>
      <c r="AC10" t="s">
        <v>503</v>
      </c>
      <c r="AL10" t="s">
        <v>526</v>
      </c>
      <c r="AM10" t="s">
        <v>527</v>
      </c>
      <c r="AS10" t="s">
        <v>505</v>
      </c>
      <c r="AV10" t="s">
        <v>528</v>
      </c>
      <c r="AY10" t="s">
        <v>539</v>
      </c>
      <c r="AZ10" t="s">
        <v>509</v>
      </c>
      <c r="BA10" t="s">
        <v>531</v>
      </c>
      <c r="BB10" t="s">
        <v>511</v>
      </c>
      <c r="BD10" t="s">
        <v>512</v>
      </c>
      <c r="BE10" t="s">
        <v>513</v>
      </c>
      <c r="BF10" t="s">
        <v>514</v>
      </c>
      <c r="BK10" t="s">
        <v>535</v>
      </c>
      <c r="BS10" t="s">
        <v>543</v>
      </c>
      <c r="CC10" t="s">
        <v>518</v>
      </c>
      <c r="CD10" t="s">
        <v>519</v>
      </c>
    </row>
    <row r="11" spans="1:103" ht="15" customHeight="1" x14ac:dyDescent="0.25">
      <c r="T11" t="s">
        <v>541</v>
      </c>
      <c r="V11" t="s">
        <v>522</v>
      </c>
      <c r="AC11" t="s">
        <v>525</v>
      </c>
      <c r="AY11" t="s">
        <v>542</v>
      </c>
      <c r="AZ11" t="s">
        <v>530</v>
      </c>
      <c r="BA11" t="s">
        <v>540</v>
      </c>
      <c r="BB11" t="s">
        <v>532</v>
      </c>
      <c r="BD11" t="s">
        <v>533</v>
      </c>
      <c r="BE11" t="s">
        <v>534</v>
      </c>
    </row>
    <row r="12" spans="1:103" ht="15" customHeight="1" x14ac:dyDescent="0.25"/>
    <row r="13" spans="1:103" ht="15" customHeight="1" x14ac:dyDescent="0.25"/>
    <row r="14" spans="1:103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BD0E-4253-4668-81D4-B1523D3D20DE}">
  <dimension ref="A1:M8"/>
  <sheetViews>
    <sheetView workbookViewId="0">
      <selection activeCell="P4" sqref="P4"/>
    </sheetView>
  </sheetViews>
  <sheetFormatPr defaultRowHeight="15" x14ac:dyDescent="0.25"/>
  <cols>
    <col min="9" max="9" width="12.85546875" customWidth="1"/>
  </cols>
  <sheetData>
    <row r="1" spans="1:13" x14ac:dyDescent="0.25">
      <c r="A1" s="20" t="s">
        <v>544</v>
      </c>
      <c r="B1" s="21"/>
      <c r="C1" s="1">
        <f>COUNTIF(AHL_DAT_STRING!4:18,"&lt;&gt;")</f>
        <v>360</v>
      </c>
    </row>
    <row r="2" spans="1:13" ht="15.75" thickBot="1" x14ac:dyDescent="0.3">
      <c r="A2" s="22" t="s">
        <v>545</v>
      </c>
      <c r="B2" s="23"/>
      <c r="C2" s="2">
        <f>C1*4</f>
        <v>1440</v>
      </c>
    </row>
    <row r="3" spans="1:13" x14ac:dyDescent="0.25">
      <c r="A3" s="3" t="s">
        <v>545</v>
      </c>
      <c r="B3" s="4">
        <f>COUNTIF(AHL!4:50, "&lt;&gt;")</f>
        <v>1438</v>
      </c>
    </row>
    <row r="4" spans="1:13" ht="15.75" thickBot="1" x14ac:dyDescent="0.3">
      <c r="A4" s="5" t="s">
        <v>546</v>
      </c>
      <c r="B4" s="6">
        <f>SUMIF(AHL!2:2,"sl",AHL!1:1)</f>
        <v>208</v>
      </c>
      <c r="F4" t="s">
        <v>551</v>
      </c>
      <c r="G4" t="s">
        <v>552</v>
      </c>
      <c r="H4" t="s">
        <v>553</v>
      </c>
      <c r="I4" t="s">
        <v>554</v>
      </c>
      <c r="J4" t="s">
        <v>555</v>
      </c>
      <c r="K4" t="s">
        <v>556</v>
      </c>
      <c r="L4" t="s">
        <v>557</v>
      </c>
      <c r="M4" t="s">
        <v>558</v>
      </c>
    </row>
    <row r="5" spans="1:13" ht="15.75" thickBot="1" x14ac:dyDescent="0.3">
      <c r="A5" s="5" t="s">
        <v>547</v>
      </c>
      <c r="B5" s="6">
        <f>SUMIF(AHL!2:2,"it",AHL!1:1)</f>
        <v>541</v>
      </c>
      <c r="F5" s="11" t="s">
        <v>559</v>
      </c>
      <c r="G5" s="12">
        <v>2</v>
      </c>
      <c r="H5" s="13">
        <f>G5/16</f>
        <v>0.125</v>
      </c>
      <c r="I5" s="14">
        <f>(B4)/B3</f>
        <v>0.14464534075104313</v>
      </c>
      <c r="J5" s="8">
        <f>C2*H5</f>
        <v>180</v>
      </c>
      <c r="K5">
        <f>B4</f>
        <v>208</v>
      </c>
      <c r="L5" s="9">
        <f>K5-J5</f>
        <v>28</v>
      </c>
      <c r="M5" s="10">
        <f>L5/4</f>
        <v>7</v>
      </c>
    </row>
    <row r="6" spans="1:13" ht="15.75" thickBot="1" x14ac:dyDescent="0.3">
      <c r="A6" s="7" t="s">
        <v>548</v>
      </c>
      <c r="B6" s="6">
        <f>SUMIF(AHL!2:2,"au",AHL!1:1)</f>
        <v>689</v>
      </c>
      <c r="F6" s="15" t="s">
        <v>560</v>
      </c>
      <c r="G6" s="16">
        <v>7</v>
      </c>
      <c r="H6" s="17">
        <f>G6/16</f>
        <v>0.4375</v>
      </c>
      <c r="I6" s="18">
        <f>B5/B3</f>
        <v>0.37621696801112658</v>
      </c>
      <c r="J6" s="8">
        <f>C2*H6</f>
        <v>630</v>
      </c>
      <c r="K6">
        <f>B5</f>
        <v>541</v>
      </c>
      <c r="L6" s="9">
        <f>K6-J6</f>
        <v>-89</v>
      </c>
      <c r="M6" s="10">
        <f>L6/4</f>
        <v>-22.25</v>
      </c>
    </row>
    <row r="7" spans="1:13" ht="15.75" thickBot="1" x14ac:dyDescent="0.3">
      <c r="F7" s="15" t="s">
        <v>561</v>
      </c>
      <c r="G7" s="16">
        <v>7</v>
      </c>
      <c r="H7" s="17">
        <f>G7/16</f>
        <v>0.4375</v>
      </c>
      <c r="I7" s="18">
        <f>B6/B3</f>
        <v>0.47913769123783034</v>
      </c>
      <c r="J7" s="8">
        <f>C2*H7</f>
        <v>630</v>
      </c>
      <c r="K7">
        <f>B6</f>
        <v>689</v>
      </c>
      <c r="L7" s="19">
        <f>K7-J7</f>
        <v>59</v>
      </c>
      <c r="M7" s="10">
        <f>L7/4</f>
        <v>14.75</v>
      </c>
    </row>
    <row r="8" spans="1:13" x14ac:dyDescent="0.25">
      <c r="A8" t="s">
        <v>549</v>
      </c>
      <c r="B8">
        <f>SUM(B4:B6)</f>
        <v>1438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03CD-E1C8-4251-AF82-7A35E1AEE5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AHL</vt:lpstr>
      <vt:lpstr>AHL_DAT</vt:lpstr>
      <vt:lpstr>AHL_DAT_STRING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2024-11-22T11:22:49Z</dcterms:modified>
</cp:coreProperties>
</file>