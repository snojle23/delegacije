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07814539-7CF4-41B5-A048-7C97AFA5E9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HL" sheetId="1" r:id="rId1"/>
    <sheet name="AHL_DAT" sheetId="3" r:id="rId2"/>
    <sheet name="AHL_DAT_STRING" sheetId="4" r:id="rId3"/>
    <sheet name="Stevilo tekem po drzavah" sheetId="5" r:id="rId4"/>
    <sheet name="Sheet1" sheetId="6" r:id="rId5"/>
    <sheet name="Sheet3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BE1" i="1"/>
  <c r="G9" i="5"/>
  <c r="G8" i="5"/>
  <c r="G7" i="5"/>
  <c r="G6" i="5"/>
  <c r="G5" i="5"/>
  <c r="B5" i="5"/>
  <c r="B3" i="5"/>
  <c r="C1" i="5"/>
  <c r="C2" i="5" s="1"/>
  <c r="BD1" i="1"/>
  <c r="AX1" i="1"/>
  <c r="BC1" i="1"/>
  <c r="AZ1" i="1"/>
  <c r="AW1" i="1"/>
  <c r="AJ1" i="1"/>
  <c r="AR1" i="1"/>
  <c r="AQ1" i="1"/>
  <c r="AT1" i="1"/>
  <c r="AP1" i="1"/>
  <c r="F1" i="1"/>
  <c r="P1" i="1"/>
  <c r="AE1" i="1"/>
  <c r="O1" i="1"/>
  <c r="E1" i="1"/>
  <c r="D1" i="1"/>
  <c r="AD1" i="1"/>
  <c r="N1" i="1"/>
  <c r="C1" i="1"/>
  <c r="B1" i="1"/>
  <c r="AN1" i="1"/>
  <c r="M1" i="1"/>
  <c r="A1" i="1"/>
  <c r="AV1" i="1"/>
  <c r="C4" i="5" s="1"/>
  <c r="V1" i="1"/>
  <c r="BB1" i="1"/>
  <c r="AS1" i="1"/>
  <c r="AI1" i="1"/>
  <c r="L1" i="1"/>
  <c r="C6" i="5" s="1"/>
  <c r="AC1" i="1"/>
  <c r="K1" i="1"/>
  <c r="G1" i="1"/>
  <c r="AB1" i="1"/>
  <c r="U1" i="1"/>
  <c r="AA1" i="1"/>
  <c r="Z1" i="1"/>
  <c r="T1" i="1"/>
  <c r="AM1" i="1"/>
  <c r="S1" i="1"/>
  <c r="R1" i="1"/>
  <c r="J1" i="1"/>
  <c r="I1" i="1"/>
  <c r="AL1" i="1"/>
  <c r="H1" i="1"/>
  <c r="AY1" i="1"/>
  <c r="BA1" i="1"/>
  <c r="AH1" i="1"/>
  <c r="AO1" i="1"/>
  <c r="Y1" i="1"/>
  <c r="AG1" i="1"/>
  <c r="AU1" i="1"/>
  <c r="AF1" i="1"/>
  <c r="AK1" i="1"/>
  <c r="X1" i="1"/>
  <c r="W1" i="1"/>
  <c r="Q1" i="1"/>
  <c r="B7" i="5" l="1"/>
  <c r="H9" i="5" s="1"/>
  <c r="C7" i="5"/>
  <c r="C8" i="5" s="1"/>
  <c r="B4" i="5"/>
  <c r="H7" i="5" s="1"/>
  <c r="B6" i="5"/>
  <c r="H8" i="5" s="1"/>
  <c r="H6" i="5"/>
  <c r="I9" i="5"/>
  <c r="I7" i="5"/>
  <c r="I5" i="5"/>
  <c r="I8" i="5"/>
  <c r="I6" i="5"/>
  <c r="J6" i="5"/>
  <c r="K6" i="5" l="1"/>
  <c r="L6" i="5" s="1"/>
  <c r="I11" i="5"/>
  <c r="J8" i="5"/>
  <c r="K8" i="5" s="1"/>
  <c r="L8" i="5" s="1"/>
  <c r="J9" i="5"/>
  <c r="K9" i="5" s="1"/>
  <c r="L9" i="5" s="1"/>
  <c r="H5" i="5"/>
  <c r="J5" i="5"/>
  <c r="K5" i="5" s="1"/>
  <c r="L5" i="5" s="1"/>
  <c r="B9" i="5"/>
  <c r="J7" i="5"/>
  <c r="K7" i="5" s="1"/>
  <c r="J11" i="5" l="1"/>
  <c r="L7" i="5"/>
  <c r="L11" i="5" s="1"/>
  <c r="K11" i="5"/>
</calcChain>
</file>

<file path=xl/sharedStrings.xml><?xml version="1.0" encoding="utf-8"?>
<sst xmlns="http://schemas.openxmlformats.org/spreadsheetml/2006/main" count="1524" uniqueCount="268">
  <si>
    <t>sl</t>
  </si>
  <si>
    <t>it</t>
  </si>
  <si>
    <t>au</t>
  </si>
  <si>
    <t>BulovecMi</t>
  </si>
  <si>
    <t>SnojTa</t>
  </si>
  <si>
    <t>BergantAn</t>
  </si>
  <si>
    <t>LebenJa</t>
  </si>
  <si>
    <t>MiklicGr</t>
  </si>
  <si>
    <t>JeramFi</t>
  </si>
  <si>
    <t>MetzingerFi</t>
  </si>
  <si>
    <t>ArlicMa</t>
  </si>
  <si>
    <t>MurnikPe</t>
  </si>
  <si>
    <t>MarkizetiGr</t>
  </si>
  <si>
    <t>BajtMi</t>
  </si>
  <si>
    <t>BergeljNi</t>
  </si>
  <si>
    <t>MoschenAn</t>
  </si>
  <si>
    <t>StefenelliFe</t>
  </si>
  <si>
    <t>AbeltinoSi</t>
  </si>
  <si>
    <t>BrondiPa</t>
  </si>
  <si>
    <t>PinieOm</t>
  </si>
  <si>
    <t>VirtaTu</t>
  </si>
  <si>
    <t>CusinFe</t>
  </si>
  <si>
    <t>FecchioFe</t>
  </si>
  <si>
    <t>BrondiMa</t>
  </si>
  <si>
    <t>RivisFe</t>
  </si>
  <si>
    <t>BenvegnuAn</t>
  </si>
  <si>
    <t>IlmerNo</t>
  </si>
  <si>
    <t>LazzeriAl</t>
  </si>
  <si>
    <t>GrisentiLu</t>
  </si>
  <si>
    <t>CristeliMa</t>
  </si>
  <si>
    <t>RivisAn</t>
  </si>
  <si>
    <t>GiacomozziFe</t>
  </si>
  <si>
    <t>FleischmannLu</t>
  </si>
  <si>
    <t>SoraperraSi</t>
  </si>
  <si>
    <t>PirasAn</t>
  </si>
  <si>
    <t>RuetzMa</t>
  </si>
  <si>
    <t>WinklerDa</t>
  </si>
  <si>
    <t>DivisDo</t>
  </si>
  <si>
    <t>WendnerMa</t>
  </si>
  <si>
    <t>Huber rRe</t>
  </si>
  <si>
    <t>StrimitzerDa</t>
  </si>
  <si>
    <t>BrockAd</t>
  </si>
  <si>
    <t>PreiserJu</t>
  </si>
  <si>
    <t>UnterwegerDo</t>
  </si>
  <si>
    <t>WuchererGe</t>
  </si>
  <si>
    <t>RinkerDa</t>
  </si>
  <si>
    <t>VeselkaMa</t>
  </si>
  <si>
    <t>SpiegelSe</t>
  </si>
  <si>
    <t>OrelSt</t>
  </si>
  <si>
    <t>HolzerTo</t>
  </si>
  <si>
    <t>Steiner fFe</t>
  </si>
  <si>
    <t>HlavatyAl</t>
  </si>
  <si>
    <t>VoicanCh</t>
  </si>
  <si>
    <t>LegatKo</t>
  </si>
  <si>
    <t>ZacherlPa</t>
  </si>
  <si>
    <t>SeewaldJe</t>
  </si>
  <si>
    <t>WidmannFl</t>
  </si>
  <si>
    <t>MoidlMa</t>
  </si>
  <si>
    <t>Dummermuth-haasEl</t>
  </si>
  <si>
    <t>CalloviniAn</t>
  </si>
  <si>
    <t>2025-09-26</t>
  </si>
  <si>
    <t>2025-09-27</t>
  </si>
  <si>
    <t>2025-10-02</t>
  </si>
  <si>
    <t>2025-10-14</t>
  </si>
  <si>
    <t>2025-10-16</t>
  </si>
  <si>
    <t>2025-09-20</t>
  </si>
  <si>
    <t>2025-09-21</t>
  </si>
  <si>
    <t>2025-10-11</t>
  </si>
  <si>
    <t>2025-10-18</t>
  </si>
  <si>
    <t>2025-09-25</t>
  </si>
  <si>
    <t>2025-10-04</t>
  </si>
  <si>
    <t>2025-10-25</t>
  </si>
  <si>
    <t>2025-10-23</t>
  </si>
  <si>
    <t>2025-10-28</t>
  </si>
  <si>
    <t>2025-12-04</t>
  </si>
  <si>
    <t>2025-11-20</t>
  </si>
  <si>
    <t>2025-10-07</t>
  </si>
  <si>
    <t>2025-10-01</t>
  </si>
  <si>
    <t>2025-10-09</t>
  </si>
  <si>
    <t>2025-11-18</t>
  </si>
  <si>
    <t>2025-11-25</t>
  </si>
  <si>
    <t>2025-11-12</t>
  </si>
  <si>
    <t>2025-11-22</t>
  </si>
  <si>
    <t>2025-11-27</t>
  </si>
  <si>
    <t>2025-11-01</t>
  </si>
  <si>
    <t>2025-10-31</t>
  </si>
  <si>
    <t>2025-10-10</t>
  </si>
  <si>
    <t>2025-10-17</t>
  </si>
  <si>
    <t>2025-10-30</t>
  </si>
  <si>
    <t>2025-11-08</t>
  </si>
  <si>
    <t>2025-11-15</t>
  </si>
  <si>
    <t>2025-12-06</t>
  </si>
  <si>
    <t>2025-11-13</t>
  </si>
  <si>
    <t>2025-10-26</t>
  </si>
  <si>
    <t>2025-11-29</t>
  </si>
  <si>
    <t>2025-11-14</t>
  </si>
  <si>
    <t>2025-11-07</t>
  </si>
  <si>
    <t>2025-11-05</t>
  </si>
  <si>
    <t>2025-10-29</t>
  </si>
  <si>
    <t>2025-11-09</t>
  </si>
  <si>
    <t>2025-12-03</t>
  </si>
  <si>
    <t>2025-11-11</t>
  </si>
  <si>
    <t>2025-11-28</t>
  </si>
  <si>
    <t>2025-11-30</t>
  </si>
  <si>
    <t>2025-11-26</t>
  </si>
  <si>
    <t>2025-11-23</t>
  </si>
  <si>
    <t>Eishalle Ritten;MoschenAn;StefenelliFe;AbeltinoSi;BrondiPa</t>
  </si>
  <si>
    <t>Eishalle Meran;BenvegnuAn;RivisFe;BrondiMa;RivisAn</t>
  </si>
  <si>
    <t>Eishalle Jesenice;BulovecMi;UnterwegerDo;MiklicGr;WuchererGe</t>
  </si>
  <si>
    <t>Eishalle Ritten;MoschenAn;PinieOm;BrondiPa;IlmerNo</t>
  </si>
  <si>
    <t>Eisarena Salzburg;OrelSt;SpiegelSe;RinkerDa;WuchererGe</t>
  </si>
  <si>
    <t>Eishalle Dornbirn;HolzerTo;WinklerDa;DivisDo;RinkerDa</t>
  </si>
  <si>
    <t>Eishalle Sissek Zibel;MetzingerFi;SnojTa;MiklicGr;MurnikPe</t>
  </si>
  <si>
    <t>Eishalle Sterzing;BulovecMi;LazzeriAl;ArlicMa;BrondiPa</t>
  </si>
  <si>
    <t>Eishalle Jesenice;BrockAd;SnojTa;JeramFi;VeselkaMa</t>
  </si>
  <si>
    <t>Eishalle Sissek Zibel;MetzingerFi;UnterwegerDo;LegatKo;WuchererGe</t>
  </si>
  <si>
    <t>Eishalle Ritten;LazzeriAl;OrelSt;BrondiPa;FleischmannLu</t>
  </si>
  <si>
    <t>Eisarena Salzburg;HlavatyAl;VoicanCh;LegatKo;WendnerMa</t>
  </si>
  <si>
    <t>Eisarena Salzburg;Huber rRe;OrelSt;DivisDo;WuchererGe</t>
  </si>
  <si>
    <t>Sportpark Kitzbühel;BulovecMi;SnojTa;BergeljNi;StrimitzerDa</t>
  </si>
  <si>
    <t>Eisarena Salzburg;VoicanCh;WinklerDa;PreiserJu;RinkerDa</t>
  </si>
  <si>
    <t>Eishalle Ritten;PirasAn;SoraperraSi;AbeltinoSi;CusinFe</t>
  </si>
  <si>
    <t>Eishalle Gröden;MoschenAn;RivisFe;FecchioFe;IlmerNo</t>
  </si>
  <si>
    <t>Eishalle Sissek Zibel;BrockAd;SnojTa;PreiserJu;VeselkaMa</t>
  </si>
  <si>
    <t>Eishalle Cortina;LebenJa;WinklerDa;FleischmannLu;MarkizetiGr</t>
  </si>
  <si>
    <t>Eisarena Salzburg;RuetzMa;VoicanCh;PreiserJu;RinkerDa</t>
  </si>
  <si>
    <t>KELIT Arena Zell am See;Huber rRe;WinklerDa;MoidlMa;Steiner fFe</t>
  </si>
  <si>
    <t>Eisarena Salzburg;Huber rRe;SpiegelSe;Dummermuth-haasEl;StrimitzerDa</t>
  </si>
  <si>
    <t>Eishalle Sissek Zibel;MetzingerFi;UnterwegerDo;ArlicMa;MiklicGr</t>
  </si>
  <si>
    <t>Würtharena Neumarkt;MoschenAn;OrelSt;BrondiPa;WuchererGe</t>
  </si>
  <si>
    <t>Eishalle Dornbirn;BrockAd;WinklerDa;StrimitzerDa;VeselkaMa</t>
  </si>
  <si>
    <t>Eishalle Meran;BergantAn;BulovecMi;ArlicMa;MarkizetiGr</t>
  </si>
  <si>
    <t>Eishalle Meran;SpiegelSe;UnterwegerDo;FleischmannLu;RivisAn</t>
  </si>
  <si>
    <t>Eishalle Sterzing;OrelSt;VirtaTu;LegatKo;WuchererGe</t>
  </si>
  <si>
    <t>Eishalle Asiago;BenvegnuAn;MoschenAn;AbeltinoSi;GrisentiLu</t>
  </si>
  <si>
    <t>Eishalle Dornbirn;HolzerTo;Huber rRe;MoidlMa;VeselkaMa</t>
  </si>
  <si>
    <t>Eishalle Jesenice;BrockAd;HlavatyAl;WendnerMa;WuchererGe</t>
  </si>
  <si>
    <t>Eishalle Ritten;GiacomozziFe;MoschenAn;BrondiPa;CusinFe</t>
  </si>
  <si>
    <t>Eisarena Salzburg;OrelSt;UnterwegerDo;SeewaldJe;ZacherlPa</t>
  </si>
  <si>
    <t>Eishalle Jesenice;MetzingerFi;VoicanCh;LegatKo;MarkizetiGr</t>
  </si>
  <si>
    <t>Eishalle Ritten;GiacomozziFe;RuetzMa;Steiner fFe;VeselkaMa</t>
  </si>
  <si>
    <t>Eishalle Dornbirn;OrelSt;UnterwegerDo;StrimitzerDa;WuchererGe</t>
  </si>
  <si>
    <t>Eisarena Salzburg;VoicanCh;WidmannFl;SeewaldJe;WendnerMa</t>
  </si>
  <si>
    <t>Eishalle Dornbirn;Huber rRe;WinklerDa;DivisDo;RinkerDa</t>
  </si>
  <si>
    <t>Eishalle Sissek Zibel;MetzingerFi;SnojTa;ArlicMa;JeramFi</t>
  </si>
  <si>
    <t>Eishalle Meran;GiacomozziFe;PinieOm;BrondiMa;GrisentiLu</t>
  </si>
  <si>
    <t>Eishalle Jesenice;BrockAd;HlavatyAl;LegatKo;PreiserJu</t>
  </si>
  <si>
    <t>Eishalle Sterzing;OrelSt;UnterwegerDo;CristeliMa;WuchererGe</t>
  </si>
  <si>
    <t>Eishalle Dornbirn;HolzerTo;SpiegelSe;DivisDo;RinkerDa</t>
  </si>
  <si>
    <t>Eishalle Jesenice;OrelSt;SnojTa;ArlicMa;LegatKo</t>
  </si>
  <si>
    <t>Eishalle Sterzing;GiacomozziFe;LazzeriAl;AbeltinoSi;RivisAn</t>
  </si>
  <si>
    <t>Würtharena Neumarkt;PinieOm;VirtaTu;CusinFe;FecchioFe</t>
  </si>
  <si>
    <t>Eishalle Sissek Zibel;BergantAn;LebenJa;JeramFi;MiklicGr</t>
  </si>
  <si>
    <t>Sportpark Kitzbühel;HolzerTo;Huber rRe;Steiner fFe;VeselkaMa</t>
  </si>
  <si>
    <t>Würtharena Neumarkt;Huber rRe;WinklerDa;BrondiPa;BrondiMa</t>
  </si>
  <si>
    <t>Eishalle Jesenice;HlavatyAl;VoicanCh;MurnikPe;PreiserJu</t>
  </si>
  <si>
    <t>Eishalle Asiago;MoschenAn;VirtaTu;CristeliMa;FecchioFe</t>
  </si>
  <si>
    <t>Würtharena Neumarkt;GiacomozziFe;StefenelliFe;BrondiMa;FleischmannLu</t>
  </si>
  <si>
    <t>Eishalle Asiago;PinieOm;StefenelliFe;GrisentiLu;IlmerNo</t>
  </si>
  <si>
    <t>Eishalle Ritten;Huber rRe;SpiegelSe;AbeltinoSi;RinkerDa</t>
  </si>
  <si>
    <t>KELIT Arena Zell am See;BenvegnuAn;PinieOm;GrisentiLu;SeewaldJe</t>
  </si>
  <si>
    <t>Eishalle Sterzing;BrockAd;UnterwegerDo;VeselkaMa;WuchererGe</t>
  </si>
  <si>
    <t>Eishalle Ritten;PinieOm;RivisFe;GrisentiLu;RivisAn</t>
  </si>
  <si>
    <t>Eishalle Jesenice;MetzingerFi;RivisFe;ArlicMa;BrondiPa</t>
  </si>
  <si>
    <t>Eishalle Cortina;PinieOm;PirasAn;AbeltinoSi;CristeliMa</t>
  </si>
  <si>
    <t>KELIT Arena Zell am See;BulovecMi;HlavatyAl;LegatKo;MurnikPe</t>
  </si>
  <si>
    <t>Eishalle Gröden;GiacomozziFe;LazzeriAl;BrondiMa;FecchioFe</t>
  </si>
  <si>
    <t>Eishalle Asiago;LazzeriAl;PirasAn;FleischmannLu;IlmerNo</t>
  </si>
  <si>
    <t>Eishalle Sterzing;Huber rRe;PinieOm;CristeliMa;RivisAn</t>
  </si>
  <si>
    <t>KELIT Arena Zell am See;LazzeriAl;LebenJa;AbeltinoSi;ArlicMa</t>
  </si>
  <si>
    <t>Eishalle Gröden;HolzerTo;SpiegelSe;DivisDo;GrisentiLu</t>
  </si>
  <si>
    <t>Sportpark Kitzbühel;BenvegnuAn;SpiegelSe;FecchioFe;MoidlMa</t>
  </si>
  <si>
    <t>KELIT Arena Zell am See;HolzerTo;Huber rRe;MarkizetiGr;ZacherlPa</t>
  </si>
  <si>
    <t>Eishalle Gröden;MoschenAn;PirasAn;CalloviniAn;IlmerNo</t>
  </si>
  <si>
    <t>Eishalle Ritten;BenvegnuAn;PinieOm;CristeliMa;FecchioFe</t>
  </si>
  <si>
    <t>Eisarena Salzburg;RuetzMa;WinklerDa;DivisDo;WendnerMa</t>
  </si>
  <si>
    <t>Eishalle Meran;VirtaTu;WinklerDa;AbeltinoSi;RinkerDa</t>
  </si>
  <si>
    <t>Eishalle Sterzing;LebenJa;SnojTa;MarkizetiGr;MiklicGr</t>
  </si>
  <si>
    <t>Eishalle Ritten;BulovecMi;LebenJa;AbeltinoSi;CristeliMa</t>
  </si>
  <si>
    <t>Eisarena Salzburg;OrelSt;UnterwegerDo;WuchererGe;ZacherlPa</t>
  </si>
  <si>
    <t>Eishalle Meran;BergantAn;OrelSt;ArlicMa;StrimitzerDa</t>
  </si>
  <si>
    <t>Eishalle Sterzing;HolzerTo;WinklerDa;DivisDo;StrimitzerDa</t>
  </si>
  <si>
    <t>Eishalle Jesenice;BrockAd;PirasAn;FecchioFe;Steiner fFe</t>
  </si>
  <si>
    <t>Würtharena Neumarkt;LazzeriAl;RivisFe;BrondiPa;RivisAn</t>
  </si>
  <si>
    <t>Eishalle Jesenice;HlavatyAl;OrelSt;LegatKo;WendnerMa</t>
  </si>
  <si>
    <t>Würtharena Neumarkt;GiacomozziFe;WinklerDa;BrondiPa;RinkerDa</t>
  </si>
  <si>
    <t>KELIT Arena Zell am See;HlavatyAl;SpiegelSe;AbeltinoSi;DivisDo</t>
  </si>
  <si>
    <t>Eishalle Sterzing;LazzeriAl;PirasAn;CusinFe;StrimitzerDa</t>
  </si>
  <si>
    <t>Eishalle Sterzing;GiacomozziFe;VirtaTu;BrondiMa;RivisAn</t>
  </si>
  <si>
    <t>Eishalle Cortina;BergantAn;BulovecMi;ArlicMa;MarkizetiGr</t>
  </si>
  <si>
    <t>Sportpark Kitzbühel;OrelSt;WinklerDa;LegatKo;WuchererGe</t>
  </si>
  <si>
    <t>Eishalle Sissek Zibel;SnojTa;UnterwegerDo;StrimitzerDa;VeselkaMa</t>
  </si>
  <si>
    <t>Würtharena Neumarkt;BergantAn;PirasAn;BergeljNi;BrondiPa</t>
  </si>
  <si>
    <t>Würtharena Neumarkt;BulovecMi;RivisFe;MiklicGr;RivisAn</t>
  </si>
  <si>
    <t>Eishalle Sterzing;MoschenAn;StefenelliFe;BrondiPa;CristeliMa</t>
  </si>
  <si>
    <t>Eishalle Sissek Zibel;BergantAn;BulovecMi;MiklicGr;WendnerMa</t>
  </si>
  <si>
    <t>Eishalle Meran;UnterwegerDo;VirtaTu;FleischmannLu;WendnerMa</t>
  </si>
  <si>
    <t>Würtharena Neumarkt;Huber rRe;RivisFe;RinkerDa;ZacherlPa</t>
  </si>
  <si>
    <t>Sportpark Kitzbühel;Huber rRe;PirasAn;IlmerNo;StrimitzerDa</t>
  </si>
  <si>
    <t>KELIT Arena Zell am See;BrockAd;RuetzMa;PreiserJu;VeselkaMa</t>
  </si>
  <si>
    <t>Würtharena Neumarkt;BergantAn;LazzeriAl;BrondiPa;JeramFi</t>
  </si>
  <si>
    <t>Eishalle Meran;PinieOm;StefenelliFe;FecchioFe;RivisAn</t>
  </si>
  <si>
    <t>Sportpark Kitzbühel;MetzingerFi;MoschenAn;GrisentiLu;JeramFi</t>
  </si>
  <si>
    <t>Eishalle Gröden;Huber rRe;LazzeriAl;AbeltinoSi;DivisDo</t>
  </si>
  <si>
    <t>Eishalle Cortina;BenvegnuAn;BulovecMi;CusinFe;MarkizetiGr</t>
  </si>
  <si>
    <t>Eishalle Ritten;BajtMi;MoschenAn;MarkizetiGr;MiklicGr</t>
  </si>
  <si>
    <t>KELIT Arena Zell am See;BergantAn;GiacomozziFe;ArlicMa;IlmerNo</t>
  </si>
  <si>
    <t>Eisarena Salzburg;BenvegnuAn;BergantAn;GrisentiLu;MiklicGr</t>
  </si>
  <si>
    <t>Eishalle Asiago;PinieOm;VirtaTu;AbeltinoSi;BrondiMa</t>
  </si>
  <si>
    <t>Würtharena Neumarkt;BenvegnuAn;VirtaTu;BrondiMa;FecchioFe</t>
  </si>
  <si>
    <t>Eishalle Meran;Huber rRe;SoraperraSi;FleischmannLu;RinkerDa</t>
  </si>
  <si>
    <t>Eishalle Gröden;LebenJa;VirtaTu;AbeltinoSi;BergeljNi</t>
  </si>
  <si>
    <t>Eishalle Asiago;RivisFe;RuetzMa;CusinFe;StrimitzerDa</t>
  </si>
  <si>
    <t>Sportpark Kitzbühel;MetzingerFi;VoicanCh;MurnikPe;PreiserJu</t>
  </si>
  <si>
    <t>KELIT Arena Zell am See;BrockAd;LazzeriAl;GrisentiLu;PreiserJu</t>
  </si>
  <si>
    <t>Eishalle Asiago;PirasAn;RivisFe;BrondiMa;RivisAn</t>
  </si>
  <si>
    <t>Eishalle Gröden;BenvegnuAn;StefenelliFe;FecchioFe;GrisentiLu</t>
  </si>
  <si>
    <t>Eishalle Gröden;BergantAn;PirasAn;ArlicMa;CusinFe</t>
  </si>
  <si>
    <t>Eishalle Gröden;RivisFe;VirtaTu;CristeliMa;RivisAn</t>
  </si>
  <si>
    <t>Eishalle Asiago;BulovecMi;LebenJa;IlmerNo;RivisAn</t>
  </si>
  <si>
    <t>Eishalle Gröden;GiacomozziFe;SpiegelSe;DivisDo;GrisentiLu</t>
  </si>
  <si>
    <t>Sportpark Kitzbühel;Huber rRe;MoschenAn;StrimitzerDa;ZacherlPa</t>
  </si>
  <si>
    <t>Eishalle Dornbirn;HolzerTo;LazzeriAl;DivisDo;RivisAn</t>
  </si>
  <si>
    <t>Sportpark Kitzbühel;BrockAd;UnterwegerDo;Steiner fFe;WuchererGe</t>
  </si>
  <si>
    <t>Eishalle Ritten;BenvegnuAn;LazzeriAl;FecchioFe;IlmerNo</t>
  </si>
  <si>
    <t>KELIT Arena Zell am See;RuetzMa;VoicanCh;PreiserJu;RinkerDa</t>
  </si>
  <si>
    <t>Eishalle Cortina;BajtMi;VirtaTu;CristeliMa;MurnikPe</t>
  </si>
  <si>
    <t>KELIT Arena Zell am See;BrockAd;HlavatyAl;Dummermuth-haasEl;PreiserJu</t>
  </si>
  <si>
    <t>Eishalle Cortina;LazzeriAl;PirasAn;DivisDo;IlmerNo</t>
  </si>
  <si>
    <t>Eishalle Cortina;StefenelliFe;WinklerDa;Steiner fFe;VeselkaMa</t>
  </si>
  <si>
    <t>Eishalle Gröden;BrockAd;WinklerDa;MoidlMa;StrimitzerDa</t>
  </si>
  <si>
    <t>Eishalle Cortina;SnojTa;SpiegelSe;MarkizetiGr;StrimitzerDa</t>
  </si>
  <si>
    <t>Eishalle Dornbirn;BenvegnuAn;SpiegelSe;FecchioFe;IlmerNo</t>
  </si>
  <si>
    <t>Eishalle Cortina;RivisFe;WinklerDa;CristeliMa;RinkerDa</t>
  </si>
  <si>
    <t>Eishalle Jesenice;BergantAn;LebenJa;LegatKo;WendnerMa</t>
  </si>
  <si>
    <t>Eishalle Asiago;BenvegnuAn;LebenJa;GrisentiLu;MurnikPe</t>
  </si>
  <si>
    <t>Eishalle Cortina;UnterwegerDo;WidmannFl;StrimitzerDa;WendnerMa</t>
  </si>
  <si>
    <t>Eishalle Asiago;PirasAn;VirtaTu;CristeliMa;CusinFe</t>
  </si>
  <si>
    <t>Eishalle Meran;BulovecMi;SpiegelSe;JeramFi;MarkizetiGr</t>
  </si>
  <si>
    <t>Eishalle Asiago;MoschenAn;PinieOm;BrondiMa;CusinFe</t>
  </si>
  <si>
    <t>Eishalle Sissek Zibel;OrelSt;UnterwegerDo;Steiner fFe;WuchererGe</t>
  </si>
  <si>
    <t>Eishalle Cortina;MetzingerFi;StefenelliFe;BrondiMa;MurnikPe</t>
  </si>
  <si>
    <t>Sportpark Kitzbühel;SpiegelSe;StefenelliFe;DivisDo;GrisentiLu</t>
  </si>
  <si>
    <t>vse delegirane tekme</t>
  </si>
  <si>
    <t>vse delegacije</t>
  </si>
  <si>
    <t>Procenti delegacij</t>
  </si>
  <si>
    <t>slo</t>
  </si>
  <si>
    <t>-</t>
  </si>
  <si>
    <t>No. Teams</t>
  </si>
  <si>
    <t>% per team</t>
  </si>
  <si>
    <t>Actual %</t>
  </si>
  <si>
    <t>Expected assignments</t>
  </si>
  <si>
    <t>Actual assignments</t>
  </si>
  <si>
    <t>Difference</t>
  </si>
  <si>
    <t>Difference in games</t>
  </si>
  <si>
    <t>hr</t>
  </si>
  <si>
    <t>Slo</t>
  </si>
  <si>
    <t>trainees</t>
  </si>
  <si>
    <t>It</t>
  </si>
  <si>
    <t>kotrola</t>
  </si>
  <si>
    <t>Aut</t>
  </si>
  <si>
    <t>kontrola</t>
  </si>
  <si>
    <t>te še niso dubl tekme</t>
  </si>
  <si>
    <t>Blaz Javornik - Ref ALPS &lt;javornik.blaz@gmail.com&gt;,</t>
  </si>
  <si>
    <t>Jacopo Pace - LM AHL &lt;jacopo.pace98@gmail.com&gt;,</t>
  </si>
  <si>
    <t>delegiranih krogov</t>
  </si>
  <si>
    <t>Glavni</t>
  </si>
  <si>
    <t>Linici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</si>
</sst>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0006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222222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5" borderId="10" xfId="0" applyFill="1" applyBorder="1"/>
    <xf numFmtId="0" fontId="0" fillId="5" borderId="10" xfId="0" applyFill="1" applyBorder="1" applyAlignment="1">
      <alignment horizontal="center"/>
    </xf>
    <xf numFmtId="10" fontId="0" fillId="5" borderId="11" xfId="0" applyNumberFormat="1" applyFill="1" applyBorder="1" applyAlignment="1">
      <alignment horizontal="center"/>
    </xf>
    <xf numFmtId="10" fontId="0" fillId="5" borderId="1" xfId="0" applyNumberFormat="1" applyFill="1" applyBorder="1"/>
    <xf numFmtId="1" fontId="0" fillId="5" borderId="10" xfId="0" applyNumberFormat="1" applyFill="1" applyBorder="1"/>
    <xf numFmtId="0" fontId="0" fillId="5" borderId="0" xfId="0" applyFill="1"/>
    <xf numFmtId="1" fontId="2" fillId="5" borderId="10" xfId="0" applyNumberFormat="1" applyFont="1" applyFill="1" applyBorder="1"/>
    <xf numFmtId="2" fontId="0" fillId="5" borderId="0" xfId="0" applyNumberFormat="1" applyFill="1"/>
    <xf numFmtId="0" fontId="0" fillId="5" borderId="12" xfId="0" applyFill="1" applyBorder="1"/>
    <xf numFmtId="0" fontId="0" fillId="5" borderId="12" xfId="0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1" fontId="0" fillId="5" borderId="12" xfId="0" applyNumberFormat="1" applyFill="1" applyBorder="1"/>
    <xf numFmtId="1" fontId="2" fillId="5" borderId="12" xfId="0" applyNumberFormat="1" applyFont="1" applyFill="1" applyBorder="1"/>
    <xf numFmtId="0" fontId="0" fillId="0" borderId="14" xfId="0" applyBorder="1"/>
    <xf numFmtId="0" fontId="0" fillId="0" borderId="15" xfId="0" applyBorder="1"/>
    <xf numFmtId="0" fontId="0" fillId="6" borderId="6" xfId="0" applyFill="1" applyBorder="1"/>
    <xf numFmtId="0" fontId="0" fillId="6" borderId="16" xfId="0" applyFill="1" applyBorder="1" applyAlignment="1">
      <alignment horizontal="center"/>
    </xf>
    <xf numFmtId="10" fontId="0" fillId="6" borderId="17" xfId="0" applyNumberFormat="1" applyFill="1" applyBorder="1" applyAlignment="1">
      <alignment horizontal="center"/>
    </xf>
    <xf numFmtId="10" fontId="0" fillId="6" borderId="18" xfId="0" applyNumberFormat="1" applyFill="1" applyBorder="1"/>
    <xf numFmtId="1" fontId="0" fillId="7" borderId="16" xfId="0" applyNumberFormat="1" applyFill="1" applyBorder="1"/>
    <xf numFmtId="0" fontId="0" fillId="0" borderId="2" xfId="0" applyBorder="1"/>
    <xf numFmtId="1" fontId="2" fillId="8" borderId="16" xfId="0" applyNumberFormat="1" applyFont="1" applyFill="1" applyBorder="1"/>
    <xf numFmtId="2" fontId="0" fillId="0" borderId="3" xfId="0" applyNumberFormat="1" applyBorder="1"/>
    <xf numFmtId="0" fontId="0" fillId="0" borderId="19" xfId="0" applyBorder="1"/>
    <xf numFmtId="0" fontId="0" fillId="0" borderId="10" xfId="0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20" xfId="0" applyNumberFormat="1" applyBorder="1"/>
    <xf numFmtId="1" fontId="0" fillId="7" borderId="10" xfId="0" applyNumberFormat="1" applyFill="1" applyBorder="1"/>
    <xf numFmtId="1" fontId="2" fillId="8" borderId="10" xfId="0" applyNumberFormat="1" applyFont="1" applyFill="1" applyBorder="1"/>
    <xf numFmtId="2" fontId="0" fillId="0" borderId="21" xfId="0" applyNumberFormat="1" applyBorder="1"/>
    <xf numFmtId="0" fontId="0" fillId="0" borderId="22" xfId="0" applyBorder="1" applyAlignment="1">
      <alignment horizontal="center"/>
    </xf>
    <xf numFmtId="10" fontId="0" fillId="0" borderId="23" xfId="0" applyNumberFormat="1" applyBorder="1" applyAlignment="1">
      <alignment horizontal="center"/>
    </xf>
    <xf numFmtId="1" fontId="0" fillId="7" borderId="22" xfId="0" applyNumberFormat="1" applyFill="1" applyBorder="1"/>
    <xf numFmtId="0" fontId="0" fillId="0" borderId="24" xfId="0" applyBorder="1"/>
    <xf numFmtId="1" fontId="3" fillId="9" borderId="22" xfId="0" applyNumberFormat="1" applyFont="1" applyFill="1" applyBorder="1"/>
    <xf numFmtId="2" fontId="0" fillId="0" borderId="5" xfId="0" applyNumberFormat="1" applyBorder="1"/>
    <xf numFmtId="0" fontId="0" fillId="0" borderId="11" xfId="0" applyBorder="1" applyAlignment="1">
      <alignment horizontal="right"/>
    </xf>
    <xf numFmtId="2" fontId="0" fillId="0" borderId="25" xfId="0" applyNumberFormat="1" applyBorder="1"/>
    <xf numFmtId="0" fontId="0" fillId="0" borderId="10" xfId="0" applyBorder="1"/>
    <xf numFmtId="1" fontId="0" fillId="0" borderId="25" xfId="0" applyNumberFormat="1" applyBorder="1"/>
    <xf numFmtId="2" fontId="0" fillId="0" borderId="10" xfId="0" applyNumberFormat="1" applyBorder="1"/>
    <xf numFmtId="0" fontId="0" fillId="0" borderId="0" xfId="0" applyAlignment="1">
      <alignment wrapText="1"/>
    </xf>
    <xf numFmtId="0" fontId="0" fillId="10" borderId="0" xfId="0" applyFill="1"/>
    <xf numFmtId="0" fontId="0" fillId="11" borderId="0" xfId="0" applyFill="1"/>
    <xf numFmtId="0" fontId="4" fillId="11" borderId="0" xfId="0" applyFont="1" applyFill="1"/>
    <xf numFmtId="0" fontId="0" fillId="4" borderId="10" xfId="0" applyFill="1" applyBorder="1"/>
    <xf numFmtId="0" fontId="0" fillId="11" borderId="10" xfId="0" applyFill="1" applyBorder="1"/>
    <xf numFmtId="0" fontId="0" fillId="10" borderId="10" xfId="0" applyFill="1" applyBorder="1"/>
    <xf numFmtId="0" fontId="0" fillId="0" borderId="0" xfId="0" applyAlignment="1">
      <alignment horizontal="left"/>
    </xf>
    <xf numFmtId="0" fontId="0" fillId="12" borderId="10" xfId="0" applyFill="1" applyBorder="1" applyAlignment="1">
      <alignment horizontal="left"/>
    </xf>
    <xf numFmtId="0" fontId="0" fillId="13" borderId="10" xfId="0" applyFill="1" applyBorder="1" applyAlignment="1">
      <alignment horizontal="left"/>
    </xf>
    <xf numFmtId="0" fontId="0" fillId="14" borderId="10" xfId="0" applyFill="1" applyBorder="1" applyAlignment="1">
      <alignment horizontal="left"/>
    </xf>
    <xf numFmtId="0" fontId="0" fillId="15" borderId="10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3"/>
  <sheetViews>
    <sheetView tabSelected="1" zoomScaleNormal="100" workbookViewId="0">
      <selection activeCell="G25" sqref="G25"/>
    </sheetView>
  </sheetViews>
  <sheetFormatPr defaultRowHeight="14.45" customHeight="1" x14ac:dyDescent="0.25"/>
  <cols>
    <col min="1" max="1" width="11.7109375" customWidth="1"/>
    <col min="2" max="2" width="13.42578125" customWidth="1"/>
    <col min="3" max="3" width="11.28515625" customWidth="1"/>
    <col min="4" max="4" width="15.140625" customWidth="1"/>
    <col min="5" max="5" width="14.5703125" customWidth="1"/>
    <col min="6" max="6" width="11.42578125" customWidth="1"/>
    <col min="7" max="7" width="13.42578125" customWidth="1"/>
    <col min="8" max="8" width="11.28515625" customWidth="1"/>
    <col min="9" max="9" width="10.28515625" customWidth="1"/>
    <col min="10" max="10" width="14.5703125" customWidth="1"/>
    <col min="11" max="11" width="11.140625" customWidth="1"/>
    <col min="12" max="12" width="11" customWidth="1"/>
    <col min="13" max="13" width="14.42578125" customWidth="1"/>
    <col min="14" max="14" width="12.85546875" customWidth="1"/>
    <col min="15" max="15" width="13.28515625" customWidth="1"/>
    <col min="16" max="16" width="11" customWidth="1"/>
    <col min="17" max="17" width="11.140625" customWidth="1"/>
    <col min="18" max="18" width="11" customWidth="1"/>
    <col min="19" max="19" width="11.7109375" customWidth="1"/>
    <col min="20" max="20" width="10.5703125" customWidth="1"/>
    <col min="21" max="21" width="11.85546875" customWidth="1"/>
    <col min="22" max="22" width="10.7109375" customWidth="1"/>
    <col min="23" max="23" width="11.7109375" customWidth="1"/>
    <col min="24" max="24" width="12.5703125" customWidth="1"/>
    <col min="25" max="25" width="10.7109375" customWidth="1"/>
    <col min="26" max="26" width="14.140625" customWidth="1"/>
    <col min="27" max="27" width="12.42578125" customWidth="1"/>
    <col min="28" max="28" width="17.28515625" customWidth="1"/>
    <col min="29" max="29" width="12.5703125" customWidth="1"/>
    <col min="30" max="30" width="11.85546875" customWidth="1"/>
    <col min="31" max="31" width="12.5703125" customWidth="1"/>
    <col min="32" max="32" width="10.7109375" customWidth="1"/>
    <col min="33" max="33" width="13" customWidth="1"/>
    <col min="34" max="34" width="12.140625" customWidth="1"/>
    <col min="35" max="35" width="13.42578125" customWidth="1"/>
    <col min="36" max="36" width="10.28515625" customWidth="1"/>
    <col min="37" max="37" width="13.5703125" customWidth="1"/>
    <col min="38" max="38" width="10.140625" customWidth="1"/>
    <col min="39" max="39" width="11.140625" customWidth="1"/>
    <col min="40" max="40" width="13.28515625" customWidth="1"/>
    <col min="41" max="41" width="16.85546875" customWidth="1"/>
    <col min="42" max="42" width="10.28515625" customWidth="1"/>
    <col min="43" max="43" width="10.42578125" customWidth="1"/>
    <col min="44" max="44" width="13.28515625" customWidth="1"/>
    <col min="45" max="45" width="10.5703125" customWidth="1"/>
    <col min="46" max="46" width="12.5703125" customWidth="1"/>
    <col min="47" max="47" width="11.85546875" customWidth="1"/>
    <col min="48" max="48" width="10.85546875" customWidth="1"/>
    <col min="49" max="49" width="10.42578125" customWidth="1"/>
    <col min="50" max="50" width="12.5703125" customWidth="1"/>
    <col min="51" max="51" width="11.42578125" customWidth="1"/>
    <col min="52" max="52" width="11.7109375" customWidth="1"/>
    <col min="53" max="53" width="14.42578125" customWidth="1"/>
    <col min="54" max="54" width="11.42578125" customWidth="1"/>
    <col min="55" max="55" width="11.28515625" customWidth="1"/>
    <col min="56" max="56" width="13.28515625" customWidth="1"/>
    <col min="57" max="57" width="12" customWidth="1"/>
    <col min="58" max="58" width="10.140625" customWidth="1"/>
    <col min="59" max="59" width="11.7109375" customWidth="1"/>
    <col min="60" max="60" width="14.28515625" customWidth="1"/>
    <col min="61" max="61" width="11.7109375" customWidth="1"/>
    <col min="62" max="62" width="11.42578125" customWidth="1"/>
    <col min="63" max="63" width="11" customWidth="1"/>
    <col min="64" max="64" width="11.85546875" customWidth="1"/>
    <col min="65" max="65" width="15.5703125" customWidth="1"/>
    <col min="66" max="66" width="11.85546875" customWidth="1"/>
    <col min="67" max="67" width="11.28515625" customWidth="1"/>
    <col min="68" max="68" width="10.5703125" customWidth="1"/>
    <col min="69" max="69" width="11.140625" customWidth="1"/>
    <col min="73" max="73" width="13.5703125" customWidth="1"/>
  </cols>
  <sheetData>
    <row r="1" spans="1:57" ht="14.45" customHeight="1" x14ac:dyDescent="0.25">
      <c r="A1">
        <f>COUNTIF(A4:A36,"&lt;&gt;")</f>
        <v>15</v>
      </c>
      <c r="B1">
        <f>COUNTIF(B4:B37,"&lt;&gt;")</f>
        <v>15</v>
      </c>
      <c r="C1">
        <f>COUNTIF(C4:C37,"&lt;&gt;")</f>
        <v>15</v>
      </c>
      <c r="D1">
        <f>COUNTIF(D4:D37,"&lt;&gt;")</f>
        <v>15</v>
      </c>
      <c r="E1">
        <f>COUNTIF(E4:E36,"&lt;&gt;")</f>
        <v>15</v>
      </c>
      <c r="F1">
        <f>COUNTIF(F4:F35,"&lt;&gt;")</f>
        <v>15</v>
      </c>
      <c r="G1">
        <f>COUNTIF(G4:G37,"&lt;&gt;")</f>
        <v>14</v>
      </c>
      <c r="H1">
        <f>COUNTIF(H4:H36,"&lt;&gt;")</f>
        <v>13</v>
      </c>
      <c r="I1">
        <f>COUNTIF(I4:I37,"&lt;&gt;")</f>
        <v>13</v>
      </c>
      <c r="J1">
        <f>COUNTIF(J4:J34,"&lt;&gt;")</f>
        <v>13</v>
      </c>
      <c r="K1">
        <f>COUNTIF(K4:K34,"&lt;&gt;")</f>
        <v>13</v>
      </c>
      <c r="L1">
        <f>COUNTIF(L4:L36,"&lt;&gt;")</f>
        <v>13</v>
      </c>
      <c r="M1">
        <f>COUNTIF(M4:M35,"&lt;&gt;")</f>
        <v>13</v>
      </c>
      <c r="N1">
        <f>COUNTIF(N4:N37,"&lt;&gt;")</f>
        <v>13</v>
      </c>
      <c r="O1">
        <f>COUNTIF(O4:O37,"&lt;&gt;")</f>
        <v>13</v>
      </c>
      <c r="P1">
        <f>COUNTIF(P4:P36,"&lt;&gt;")</f>
        <v>13</v>
      </c>
      <c r="Q1">
        <f>COUNTIF(Q4:Q37,"&lt;&gt;")</f>
        <v>12</v>
      </c>
      <c r="R1">
        <f>COUNTIF(R4:R37,"&lt;&gt;")</f>
        <v>12</v>
      </c>
      <c r="S1">
        <f>COUNTIF(S4:S34,"&lt;&gt;")</f>
        <v>12</v>
      </c>
      <c r="T1">
        <f>COUNTIF(T4:T37,"&lt;&gt;")</f>
        <v>12</v>
      </c>
      <c r="U1">
        <f>COUNTIF(U4:U37,"&lt;&gt;")</f>
        <v>12</v>
      </c>
      <c r="V1">
        <f>COUNTIF(V4:V37,"&lt;&gt;")</f>
        <v>12</v>
      </c>
      <c r="W1">
        <f>COUNTIF(W4:W34,"&lt;&gt;")</f>
        <v>11</v>
      </c>
      <c r="X1">
        <f>COUNTIF(X4:X36,"&lt;&gt;")</f>
        <v>11</v>
      </c>
      <c r="Y1">
        <f>COUNTIF(Y4:Y36,"&lt;&gt;")</f>
        <v>11</v>
      </c>
      <c r="Z1">
        <f>COUNTIF(Z4:Z35,"&lt;&gt;")</f>
        <v>11</v>
      </c>
      <c r="AA1">
        <f>COUNTIF(AA4:AA37,"&lt;&gt;")</f>
        <v>11</v>
      </c>
      <c r="AB1">
        <f>COUNTIF(AB4:AB37,"&lt;&gt;")</f>
        <v>11</v>
      </c>
      <c r="AC1">
        <f>COUNTIF(AC4:AC34,"&lt;&gt;")</f>
        <v>11</v>
      </c>
      <c r="AD1">
        <f>COUNTIF(AD4:AD36,"&lt;&gt;")</f>
        <v>11</v>
      </c>
      <c r="AE1">
        <f>COUNTIF(AE4:AE37,"&lt;&gt;")</f>
        <v>11</v>
      </c>
      <c r="AF1">
        <f>COUNTIF(AF4:AF37,"&lt;&gt;")</f>
        <v>10</v>
      </c>
      <c r="AG1">
        <f>COUNTIF(AG4:AG36,"&lt;&gt;")</f>
        <v>10</v>
      </c>
      <c r="AH1">
        <f>COUNTIF(AH4:AH37,"&lt;&gt;")</f>
        <v>10</v>
      </c>
      <c r="AI1">
        <f>COUNTIF(AI4:AI36,"&lt;&gt;")</f>
        <v>10</v>
      </c>
      <c r="AJ1">
        <f>COUNTIF(AJ4:AJ32,"&lt;&gt;")</f>
        <v>10</v>
      </c>
      <c r="AK1">
        <f>COUNTIF(AK4:AK36,"&lt;&gt;")</f>
        <v>9</v>
      </c>
      <c r="AL1">
        <f>COUNTIF(AL4:AL35,"&lt;&gt;")</f>
        <v>9</v>
      </c>
      <c r="AM1">
        <f>COUNTIF(AM4:AM34,"&lt;&gt;")</f>
        <v>9</v>
      </c>
      <c r="AN1">
        <f>COUNTIF(AN4:AN34,"&lt;&gt;")</f>
        <v>9</v>
      </c>
      <c r="AO1">
        <f>COUNTIF(AO4:AO36,"&lt;&gt;")</f>
        <v>8</v>
      </c>
      <c r="AP1">
        <f>COUNTIF(AP4:AP34,"&lt;&gt;")</f>
        <v>8</v>
      </c>
      <c r="AQ1">
        <f>COUNTIF(AQ4:AQ35,"&lt;&gt;")</f>
        <v>8</v>
      </c>
      <c r="AR1">
        <f>COUNTIF(AR4:AR37,"&lt;&gt;")</f>
        <v>8</v>
      </c>
      <c r="AS1">
        <f>COUNTIF(AS4:AS37,"&lt;&gt;")</f>
        <v>7</v>
      </c>
      <c r="AT1">
        <f>COUNTIF(AT4:AT37,"&lt;&gt;")</f>
        <v>7</v>
      </c>
      <c r="AU1">
        <f>COUNTIF(AU4:AU35,"&lt;&gt;")</f>
        <v>6</v>
      </c>
      <c r="AV1">
        <f>COUNTIF(AV4:AV37,"&lt;&gt;")</f>
        <v>6</v>
      </c>
      <c r="AW1">
        <f>COUNTIF(AW4:AW35,"&lt;&gt;")</f>
        <v>5</v>
      </c>
      <c r="AX1">
        <f>COUNTIF(AX4:AX36,"&lt;&gt;")</f>
        <v>4</v>
      </c>
      <c r="AY1">
        <f>COUNTIF(AY4:AY37,"&lt;&gt;")</f>
        <v>3</v>
      </c>
      <c r="AZ1">
        <f>COUNTIF(AZ4:AZ36,"&lt;&gt;")</f>
        <v>3</v>
      </c>
      <c r="BA1">
        <f>COUNTIF(BA4:BA37,"&lt;&gt;")</f>
        <v>2</v>
      </c>
      <c r="BB1">
        <f>COUNTIF(BB4:BB37,"&lt;&gt;")</f>
        <v>2</v>
      </c>
      <c r="BC1">
        <f>COUNTIF(BC4:BC36,"&lt;&gt;")</f>
        <v>2</v>
      </c>
      <c r="BD1">
        <f>COUNTIF(BD4:BD37,"&lt;&gt;")</f>
        <v>2</v>
      </c>
      <c r="BE1">
        <f>COUNTIF(BE4:BE37,"&lt;&gt;")</f>
        <v>1</v>
      </c>
    </row>
    <row r="2" spans="1:57" ht="14.45" customHeight="1" x14ac:dyDescent="0.25">
      <c r="A2" s="3" t="s">
        <v>2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3" t="s">
        <v>2</v>
      </c>
      <c r="N2" s="3" t="s">
        <v>2</v>
      </c>
      <c r="O2" s="3" t="s">
        <v>2</v>
      </c>
      <c r="P2" s="3" t="s">
        <v>2</v>
      </c>
      <c r="Q2" s="1" t="s">
        <v>0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1" t="s">
        <v>0</v>
      </c>
      <c r="X2" s="1" t="s">
        <v>0</v>
      </c>
      <c r="Y2" s="1" t="s">
        <v>0</v>
      </c>
      <c r="Z2" s="2" t="s">
        <v>1</v>
      </c>
      <c r="AA2" s="2" t="s">
        <v>1</v>
      </c>
      <c r="AB2" s="2" t="s">
        <v>1</v>
      </c>
      <c r="AC2" s="2" t="s">
        <v>1</v>
      </c>
      <c r="AD2" s="3" t="s">
        <v>2</v>
      </c>
      <c r="AE2" s="3" t="s">
        <v>2</v>
      </c>
      <c r="AF2" s="1" t="s">
        <v>0</v>
      </c>
      <c r="AG2" s="1" t="s">
        <v>0</v>
      </c>
      <c r="AH2" s="1" t="s">
        <v>0</v>
      </c>
      <c r="AI2" s="2" t="s">
        <v>1</v>
      </c>
      <c r="AJ2" s="3" t="s">
        <v>2</v>
      </c>
      <c r="AK2" s="1" t="s">
        <v>0</v>
      </c>
      <c r="AL2" s="2" t="s">
        <v>1</v>
      </c>
      <c r="AM2" s="2" t="s">
        <v>1</v>
      </c>
      <c r="AN2" s="3" t="s">
        <v>2</v>
      </c>
      <c r="AO2" s="1" t="s">
        <v>0</v>
      </c>
      <c r="AP2" s="3" t="s">
        <v>2</v>
      </c>
      <c r="AQ2" s="3" t="s">
        <v>2</v>
      </c>
      <c r="AR2" s="3" t="s">
        <v>2</v>
      </c>
      <c r="AS2" s="2" t="s">
        <v>1</v>
      </c>
      <c r="AT2" s="3" t="s">
        <v>2</v>
      </c>
      <c r="AU2" s="1" t="s">
        <v>0</v>
      </c>
      <c r="AV2" s="3" t="s">
        <v>2</v>
      </c>
      <c r="AW2" s="3" t="s">
        <v>2</v>
      </c>
      <c r="AX2" s="3" t="s">
        <v>2</v>
      </c>
      <c r="AY2" s="1" t="s">
        <v>0</v>
      </c>
      <c r="AZ2" s="3" t="s">
        <v>2</v>
      </c>
      <c r="BA2" s="1" t="s">
        <v>0</v>
      </c>
      <c r="BB2" s="2" t="s">
        <v>1</v>
      </c>
      <c r="BC2" s="3" t="s">
        <v>2</v>
      </c>
      <c r="BD2" s="3" t="s">
        <v>2</v>
      </c>
      <c r="BE2" s="2" t="s">
        <v>1</v>
      </c>
    </row>
    <row r="3" spans="1:57" ht="15" customHeight="1" x14ac:dyDescent="0.25">
      <c r="A3" t="s">
        <v>36</v>
      </c>
      <c r="B3" t="s">
        <v>39</v>
      </c>
      <c r="C3" t="s">
        <v>40</v>
      </c>
      <c r="D3" t="s">
        <v>43</v>
      </c>
      <c r="E3" t="s">
        <v>44</v>
      </c>
      <c r="F3" t="s">
        <v>48</v>
      </c>
      <c r="G3" t="s">
        <v>27</v>
      </c>
      <c r="H3" t="s">
        <v>15</v>
      </c>
      <c r="I3" t="s">
        <v>17</v>
      </c>
      <c r="J3" t="s">
        <v>18</v>
      </c>
      <c r="K3" t="s">
        <v>28</v>
      </c>
      <c r="L3" t="s">
        <v>30</v>
      </c>
      <c r="M3" t="s">
        <v>37</v>
      </c>
      <c r="N3" t="s">
        <v>41</v>
      </c>
      <c r="O3" t="s">
        <v>45</v>
      </c>
      <c r="P3" t="s">
        <v>47</v>
      </c>
      <c r="Q3" t="s">
        <v>3</v>
      </c>
      <c r="R3" t="s">
        <v>19</v>
      </c>
      <c r="S3" t="s">
        <v>20</v>
      </c>
      <c r="T3" t="s">
        <v>22</v>
      </c>
      <c r="U3" t="s">
        <v>25</v>
      </c>
      <c r="V3" t="s">
        <v>34</v>
      </c>
      <c r="W3" t="s">
        <v>4</v>
      </c>
      <c r="X3" t="s">
        <v>5</v>
      </c>
      <c r="Y3" t="s">
        <v>10</v>
      </c>
      <c r="Z3" t="s">
        <v>23</v>
      </c>
      <c r="AA3" t="s">
        <v>24</v>
      </c>
      <c r="AB3" t="s">
        <v>26</v>
      </c>
      <c r="AC3" t="s">
        <v>29</v>
      </c>
      <c r="AD3" t="s">
        <v>42</v>
      </c>
      <c r="AE3" t="s">
        <v>46</v>
      </c>
      <c r="AF3" t="s">
        <v>7</v>
      </c>
      <c r="AG3" t="s">
        <v>9</v>
      </c>
      <c r="AH3" t="s">
        <v>12</v>
      </c>
      <c r="AI3" t="s">
        <v>31</v>
      </c>
      <c r="AJ3" t="s">
        <v>53</v>
      </c>
      <c r="AK3" t="s">
        <v>6</v>
      </c>
      <c r="AL3" t="s">
        <v>16</v>
      </c>
      <c r="AM3" t="s">
        <v>21</v>
      </c>
      <c r="AN3" t="s">
        <v>38</v>
      </c>
      <c r="AO3" t="s">
        <v>11</v>
      </c>
      <c r="AP3" t="s">
        <v>49</v>
      </c>
      <c r="AQ3" t="s">
        <v>51</v>
      </c>
      <c r="AR3" t="s">
        <v>52</v>
      </c>
      <c r="AS3" t="s">
        <v>32</v>
      </c>
      <c r="AT3" t="s">
        <v>50</v>
      </c>
      <c r="AU3" t="s">
        <v>8</v>
      </c>
      <c r="AV3" t="s">
        <v>35</v>
      </c>
      <c r="AW3" t="s">
        <v>54</v>
      </c>
      <c r="AX3" t="s">
        <v>57</v>
      </c>
      <c r="AY3" t="s">
        <v>14</v>
      </c>
      <c r="AZ3" t="s">
        <v>55</v>
      </c>
      <c r="BA3" t="s">
        <v>13</v>
      </c>
      <c r="BB3" t="s">
        <v>33</v>
      </c>
      <c r="BC3" t="s">
        <v>56</v>
      </c>
      <c r="BD3" t="s">
        <v>58</v>
      </c>
      <c r="BE3" t="s">
        <v>59</v>
      </c>
    </row>
    <row r="4" spans="1:57" ht="15" customHeight="1" x14ac:dyDescent="0.25">
      <c r="A4" t="s">
        <v>65</v>
      </c>
      <c r="B4" t="s">
        <v>65</v>
      </c>
      <c r="C4" t="s">
        <v>65</v>
      </c>
      <c r="D4" t="s">
        <v>60</v>
      </c>
      <c r="E4" t="s">
        <v>60</v>
      </c>
      <c r="F4" t="s">
        <v>69</v>
      </c>
      <c r="G4" t="s">
        <v>65</v>
      </c>
      <c r="H4" t="s">
        <v>65</v>
      </c>
      <c r="I4" t="s">
        <v>65</v>
      </c>
      <c r="J4" t="s">
        <v>65</v>
      </c>
      <c r="K4" t="s">
        <v>65</v>
      </c>
      <c r="L4" t="s">
        <v>66</v>
      </c>
      <c r="M4" t="s">
        <v>65</v>
      </c>
      <c r="N4" t="s">
        <v>65</v>
      </c>
      <c r="O4" t="s">
        <v>61</v>
      </c>
      <c r="P4" t="s">
        <v>61</v>
      </c>
      <c r="Q4" t="s">
        <v>60</v>
      </c>
      <c r="R4" t="s">
        <v>65</v>
      </c>
      <c r="S4" t="s">
        <v>65</v>
      </c>
      <c r="T4" t="s">
        <v>65</v>
      </c>
      <c r="U4" t="s">
        <v>66</v>
      </c>
      <c r="V4" t="s">
        <v>65</v>
      </c>
      <c r="W4" t="s">
        <v>61</v>
      </c>
      <c r="X4" t="s">
        <v>61</v>
      </c>
      <c r="Y4" t="s">
        <v>62</v>
      </c>
      <c r="Z4" t="s">
        <v>66</v>
      </c>
      <c r="AA4" t="s">
        <v>66</v>
      </c>
      <c r="AB4" t="s">
        <v>65</v>
      </c>
      <c r="AC4" t="s">
        <v>62</v>
      </c>
      <c r="AD4" t="s">
        <v>65</v>
      </c>
      <c r="AE4" t="s">
        <v>61</v>
      </c>
      <c r="AF4" t="s">
        <v>60</v>
      </c>
      <c r="AG4" t="s">
        <v>62</v>
      </c>
      <c r="AH4" t="s">
        <v>61</v>
      </c>
      <c r="AI4" t="s">
        <v>67</v>
      </c>
      <c r="AJ4" t="s">
        <v>67</v>
      </c>
      <c r="AK4" t="s">
        <v>61</v>
      </c>
      <c r="AL4" t="s">
        <v>65</v>
      </c>
      <c r="AM4" t="s">
        <v>65</v>
      </c>
      <c r="AN4" t="s">
        <v>65</v>
      </c>
      <c r="AO4" t="s">
        <v>62</v>
      </c>
      <c r="AP4" t="s">
        <v>69</v>
      </c>
      <c r="AQ4" t="s">
        <v>70</v>
      </c>
      <c r="AR4" t="s">
        <v>70</v>
      </c>
      <c r="AS4" t="s">
        <v>67</v>
      </c>
      <c r="AT4" t="s">
        <v>69</v>
      </c>
      <c r="AU4" t="s">
        <v>61</v>
      </c>
      <c r="AV4" t="s">
        <v>65</v>
      </c>
      <c r="AW4" t="s">
        <v>70</v>
      </c>
      <c r="AX4" t="s">
        <v>72</v>
      </c>
      <c r="AY4" t="s">
        <v>64</v>
      </c>
      <c r="AZ4" t="s">
        <v>63</v>
      </c>
      <c r="BA4" t="s">
        <v>63</v>
      </c>
      <c r="BB4" t="s">
        <v>68</v>
      </c>
      <c r="BC4" t="s">
        <v>71</v>
      </c>
      <c r="BD4" t="s">
        <v>73</v>
      </c>
      <c r="BE4" t="s">
        <v>74</v>
      </c>
    </row>
    <row r="5" spans="1:57" ht="15" customHeight="1" x14ac:dyDescent="0.25">
      <c r="A5" t="s">
        <v>61</v>
      </c>
      <c r="B5" t="s">
        <v>69</v>
      </c>
      <c r="C5" t="s">
        <v>61</v>
      </c>
      <c r="D5" t="s">
        <v>70</v>
      </c>
      <c r="E5" t="s">
        <v>69</v>
      </c>
      <c r="F5" t="s">
        <v>70</v>
      </c>
      <c r="G5" t="s">
        <v>69</v>
      </c>
      <c r="H5" t="s">
        <v>61</v>
      </c>
      <c r="I5" t="s">
        <v>61</v>
      </c>
      <c r="J5" t="s">
        <v>69</v>
      </c>
      <c r="K5" t="s">
        <v>69</v>
      </c>
      <c r="L5" t="s">
        <v>61</v>
      </c>
      <c r="M5" t="s">
        <v>77</v>
      </c>
      <c r="N5" t="s">
        <v>61</v>
      </c>
      <c r="O5" t="s">
        <v>69</v>
      </c>
      <c r="P5" t="s">
        <v>69</v>
      </c>
      <c r="Q5" t="s">
        <v>62</v>
      </c>
      <c r="R5" t="s">
        <v>61</v>
      </c>
      <c r="S5" t="s">
        <v>61</v>
      </c>
      <c r="T5" t="s">
        <v>69</v>
      </c>
      <c r="U5" t="s">
        <v>69</v>
      </c>
      <c r="V5" t="s">
        <v>61</v>
      </c>
      <c r="W5" t="s">
        <v>69</v>
      </c>
      <c r="X5" t="s">
        <v>69</v>
      </c>
      <c r="Y5" t="s">
        <v>70</v>
      </c>
      <c r="Z5" t="s">
        <v>62</v>
      </c>
      <c r="AA5" t="s">
        <v>61</v>
      </c>
      <c r="AB5" t="s">
        <v>61</v>
      </c>
      <c r="AC5" t="s">
        <v>70</v>
      </c>
      <c r="AD5" t="s">
        <v>61</v>
      </c>
      <c r="AE5" t="s">
        <v>69</v>
      </c>
      <c r="AF5" t="s">
        <v>61</v>
      </c>
      <c r="AG5" t="s">
        <v>70</v>
      </c>
      <c r="AH5" t="s">
        <v>69</v>
      </c>
      <c r="AI5" t="s">
        <v>64</v>
      </c>
      <c r="AJ5" t="s">
        <v>68</v>
      </c>
      <c r="AK5" t="s">
        <v>69</v>
      </c>
      <c r="AL5" t="s">
        <v>69</v>
      </c>
      <c r="AM5" t="s">
        <v>62</v>
      </c>
      <c r="AN5" t="s">
        <v>78</v>
      </c>
      <c r="AO5" t="s">
        <v>70</v>
      </c>
      <c r="AP5" t="s">
        <v>77</v>
      </c>
      <c r="AQ5" t="s">
        <v>78</v>
      </c>
      <c r="AR5" t="s">
        <v>78</v>
      </c>
      <c r="AS5" t="s">
        <v>76</v>
      </c>
      <c r="AT5" t="s">
        <v>63</v>
      </c>
      <c r="AU5" t="s">
        <v>69</v>
      </c>
      <c r="AV5" t="s">
        <v>61</v>
      </c>
      <c r="AW5" t="s">
        <v>68</v>
      </c>
      <c r="AX5" t="s">
        <v>81</v>
      </c>
      <c r="AY5" t="s">
        <v>75</v>
      </c>
      <c r="AZ5" t="s">
        <v>79</v>
      </c>
      <c r="BA5" t="s">
        <v>75</v>
      </c>
      <c r="BB5" t="s">
        <v>75</v>
      </c>
      <c r="BC5" t="s">
        <v>80</v>
      </c>
      <c r="BD5" t="s">
        <v>82</v>
      </c>
    </row>
    <row r="6" spans="1:57" ht="15" customHeight="1" x14ac:dyDescent="0.25">
      <c r="A6" t="s">
        <v>77</v>
      </c>
      <c r="B6" t="s">
        <v>62</v>
      </c>
      <c r="C6" t="s">
        <v>67</v>
      </c>
      <c r="D6" t="s">
        <v>67</v>
      </c>
      <c r="E6" t="s">
        <v>70</v>
      </c>
      <c r="F6" t="s">
        <v>67</v>
      </c>
      <c r="G6" t="s">
        <v>70</v>
      </c>
      <c r="H6" t="s">
        <v>70</v>
      </c>
      <c r="I6" t="s">
        <v>62</v>
      </c>
      <c r="J6" t="s">
        <v>62</v>
      </c>
      <c r="K6" t="s">
        <v>70</v>
      </c>
      <c r="L6" t="s">
        <v>62</v>
      </c>
      <c r="M6" t="s">
        <v>78</v>
      </c>
      <c r="N6" t="s">
        <v>86</v>
      </c>
      <c r="O6" t="s">
        <v>77</v>
      </c>
      <c r="P6" t="s">
        <v>70</v>
      </c>
      <c r="Q6" t="s">
        <v>70</v>
      </c>
      <c r="R6" t="s">
        <v>62</v>
      </c>
      <c r="S6" t="s">
        <v>70</v>
      </c>
      <c r="T6" t="s">
        <v>62</v>
      </c>
      <c r="U6" t="s">
        <v>70</v>
      </c>
      <c r="V6" t="s">
        <v>62</v>
      </c>
      <c r="W6" t="s">
        <v>62</v>
      </c>
      <c r="X6" t="s">
        <v>62</v>
      </c>
      <c r="Y6" t="s">
        <v>68</v>
      </c>
      <c r="Z6" t="s">
        <v>61</v>
      </c>
      <c r="AA6" t="s">
        <v>70</v>
      </c>
      <c r="AB6" t="s">
        <v>70</v>
      </c>
      <c r="AC6" t="s">
        <v>84</v>
      </c>
      <c r="AD6" t="s">
        <v>87</v>
      </c>
      <c r="AE6" t="s">
        <v>86</v>
      </c>
      <c r="AF6" t="s">
        <v>69</v>
      </c>
      <c r="AG6" t="s">
        <v>67</v>
      </c>
      <c r="AH6" t="s">
        <v>78</v>
      </c>
      <c r="AI6" t="s">
        <v>68</v>
      </c>
      <c r="AJ6" t="s">
        <v>88</v>
      </c>
      <c r="AK6" t="s">
        <v>62</v>
      </c>
      <c r="AL6" t="s">
        <v>62</v>
      </c>
      <c r="AM6" t="s">
        <v>78</v>
      </c>
      <c r="AN6" t="s">
        <v>68</v>
      </c>
      <c r="AO6" t="s">
        <v>68</v>
      </c>
      <c r="AP6" t="s">
        <v>78</v>
      </c>
      <c r="AQ6" t="s">
        <v>68</v>
      </c>
      <c r="AR6" t="s">
        <v>87</v>
      </c>
      <c r="AS6" t="s">
        <v>85</v>
      </c>
      <c r="AT6" t="s">
        <v>84</v>
      </c>
      <c r="AU6" t="s">
        <v>70</v>
      </c>
      <c r="AV6" t="s">
        <v>84</v>
      </c>
      <c r="AW6" t="s">
        <v>79</v>
      </c>
      <c r="AX6" t="s">
        <v>83</v>
      </c>
      <c r="AY6" t="s">
        <v>83</v>
      </c>
      <c r="AZ6" t="s">
        <v>80</v>
      </c>
    </row>
    <row r="7" spans="1:57" ht="15" customHeight="1" x14ac:dyDescent="0.25">
      <c r="A7" t="s">
        <v>62</v>
      </c>
      <c r="B7" t="s">
        <v>67</v>
      </c>
      <c r="C7" t="s">
        <v>78</v>
      </c>
      <c r="D7" t="s">
        <v>64</v>
      </c>
      <c r="E7" t="s">
        <v>67</v>
      </c>
      <c r="F7" t="s">
        <v>64</v>
      </c>
      <c r="G7" t="s">
        <v>67</v>
      </c>
      <c r="H7" t="s">
        <v>86</v>
      </c>
      <c r="I7" t="s">
        <v>67</v>
      </c>
      <c r="J7" t="s">
        <v>70</v>
      </c>
      <c r="K7" t="s">
        <v>76</v>
      </c>
      <c r="L7" t="s">
        <v>70</v>
      </c>
      <c r="M7" t="s">
        <v>63</v>
      </c>
      <c r="N7" t="s">
        <v>63</v>
      </c>
      <c r="O7" t="s">
        <v>67</v>
      </c>
      <c r="P7" t="s">
        <v>78</v>
      </c>
      <c r="Q7" t="s">
        <v>67</v>
      </c>
      <c r="R7" t="s">
        <v>76</v>
      </c>
      <c r="S7" t="s">
        <v>86</v>
      </c>
      <c r="T7" t="s">
        <v>70</v>
      </c>
      <c r="U7" t="s">
        <v>78</v>
      </c>
      <c r="V7" t="s">
        <v>63</v>
      </c>
      <c r="W7" t="s">
        <v>86</v>
      </c>
      <c r="X7" t="s">
        <v>67</v>
      </c>
      <c r="Y7" t="s">
        <v>72</v>
      </c>
      <c r="Z7" t="s">
        <v>67</v>
      </c>
      <c r="AA7" t="s">
        <v>67</v>
      </c>
      <c r="AB7" t="s">
        <v>67</v>
      </c>
      <c r="AC7" t="s">
        <v>73</v>
      </c>
      <c r="AD7" t="s">
        <v>71</v>
      </c>
      <c r="AE7" t="s">
        <v>68</v>
      </c>
      <c r="AF7" t="s">
        <v>62</v>
      </c>
      <c r="AG7" t="s">
        <v>72</v>
      </c>
      <c r="AH7" t="s">
        <v>63</v>
      </c>
      <c r="AI7" t="s">
        <v>71</v>
      </c>
      <c r="AJ7" t="s">
        <v>78</v>
      </c>
      <c r="AK7" t="s">
        <v>67</v>
      </c>
      <c r="AL7" t="s">
        <v>67</v>
      </c>
      <c r="AM7" t="s">
        <v>72</v>
      </c>
      <c r="AN7" t="s">
        <v>71</v>
      </c>
      <c r="AO7" t="s">
        <v>88</v>
      </c>
      <c r="AP7" t="s">
        <v>71</v>
      </c>
      <c r="AQ7" t="s">
        <v>88</v>
      </c>
      <c r="AR7" t="s">
        <v>84</v>
      </c>
      <c r="AS7" t="s">
        <v>89</v>
      </c>
      <c r="AT7" t="s">
        <v>72</v>
      </c>
      <c r="AU7" t="s">
        <v>86</v>
      </c>
      <c r="AV7" t="s">
        <v>90</v>
      </c>
      <c r="AW7" t="s">
        <v>94</v>
      </c>
      <c r="AX7" t="s">
        <v>91</v>
      </c>
    </row>
    <row r="8" spans="1:57" ht="15" customHeight="1" x14ac:dyDescent="0.25">
      <c r="A8" t="s">
        <v>67</v>
      </c>
      <c r="B8" t="s">
        <v>78</v>
      </c>
      <c r="C8" t="s">
        <v>68</v>
      </c>
      <c r="D8" t="s">
        <v>68</v>
      </c>
      <c r="E8" t="s">
        <v>63</v>
      </c>
      <c r="F8" t="s">
        <v>68</v>
      </c>
      <c r="G8" t="s">
        <v>76</v>
      </c>
      <c r="H8" t="s">
        <v>63</v>
      </c>
      <c r="I8" t="s">
        <v>68</v>
      </c>
      <c r="J8" t="s">
        <v>61</v>
      </c>
      <c r="K8" t="s">
        <v>64</v>
      </c>
      <c r="L8" t="s">
        <v>67</v>
      </c>
      <c r="M8" t="s">
        <v>64</v>
      </c>
      <c r="N8" t="s">
        <v>68</v>
      </c>
      <c r="O8" t="s">
        <v>78</v>
      </c>
      <c r="P8" t="s">
        <v>64</v>
      </c>
      <c r="Q8" t="s">
        <v>78</v>
      </c>
      <c r="R8" t="s">
        <v>63</v>
      </c>
      <c r="S8" t="s">
        <v>72</v>
      </c>
      <c r="T8" t="s">
        <v>86</v>
      </c>
      <c r="U8" t="s">
        <v>63</v>
      </c>
      <c r="V8" t="s">
        <v>68</v>
      </c>
      <c r="W8" t="s">
        <v>71</v>
      </c>
      <c r="X8" t="s">
        <v>68</v>
      </c>
      <c r="Y8" t="s">
        <v>88</v>
      </c>
      <c r="Z8" t="s">
        <v>72</v>
      </c>
      <c r="AA8" t="s">
        <v>64</v>
      </c>
      <c r="AB8" t="s">
        <v>76</v>
      </c>
      <c r="AC8" t="s">
        <v>67</v>
      </c>
      <c r="AD8" t="s">
        <v>93</v>
      </c>
      <c r="AE8" t="s">
        <v>71</v>
      </c>
      <c r="AF8" t="s">
        <v>63</v>
      </c>
      <c r="AG8" t="s">
        <v>88</v>
      </c>
      <c r="AH8" t="s">
        <v>85</v>
      </c>
      <c r="AI8" t="s">
        <v>88</v>
      </c>
      <c r="AJ8" t="s">
        <v>64</v>
      </c>
      <c r="AK8" t="s">
        <v>68</v>
      </c>
      <c r="AL8" t="s">
        <v>76</v>
      </c>
      <c r="AM8" t="s">
        <v>68</v>
      </c>
      <c r="AN8" t="s">
        <v>64</v>
      </c>
      <c r="AO8" t="s">
        <v>84</v>
      </c>
      <c r="AP8" t="s">
        <v>81</v>
      </c>
      <c r="AQ8" t="s">
        <v>84</v>
      </c>
      <c r="AR8" t="s">
        <v>90</v>
      </c>
      <c r="AS8" t="s">
        <v>92</v>
      </c>
      <c r="AT8" t="s">
        <v>64</v>
      </c>
      <c r="AU8" t="s">
        <v>72</v>
      </c>
      <c r="AV8" t="s">
        <v>82</v>
      </c>
      <c r="AW8" t="s">
        <v>91</v>
      </c>
    </row>
    <row r="9" spans="1:57" ht="15" customHeight="1" x14ac:dyDescent="0.25">
      <c r="A9" t="s">
        <v>78</v>
      </c>
      <c r="B9" t="s">
        <v>68</v>
      </c>
      <c r="C9" t="s">
        <v>72</v>
      </c>
      <c r="D9" t="s">
        <v>71</v>
      </c>
      <c r="E9" t="s">
        <v>68</v>
      </c>
      <c r="F9" t="s">
        <v>76</v>
      </c>
      <c r="G9" t="s">
        <v>64</v>
      </c>
      <c r="H9" t="s">
        <v>68</v>
      </c>
      <c r="I9" t="s">
        <v>84</v>
      </c>
      <c r="J9" t="s">
        <v>64</v>
      </c>
      <c r="K9" t="s">
        <v>68</v>
      </c>
      <c r="L9" t="s">
        <v>71</v>
      </c>
      <c r="M9" t="s">
        <v>71</v>
      </c>
      <c r="N9" t="s">
        <v>71</v>
      </c>
      <c r="O9" t="s">
        <v>87</v>
      </c>
      <c r="P9" t="s">
        <v>84</v>
      </c>
      <c r="Q9" t="s">
        <v>64</v>
      </c>
      <c r="R9" t="s">
        <v>84</v>
      </c>
      <c r="S9" t="s">
        <v>88</v>
      </c>
      <c r="T9" t="s">
        <v>63</v>
      </c>
      <c r="U9" t="s">
        <v>68</v>
      </c>
      <c r="V9" t="s">
        <v>84</v>
      </c>
      <c r="W9" t="s">
        <v>93</v>
      </c>
      <c r="X9" t="s">
        <v>71</v>
      </c>
      <c r="Y9" t="s">
        <v>67</v>
      </c>
      <c r="Z9" t="s">
        <v>88</v>
      </c>
      <c r="AA9" t="s">
        <v>71</v>
      </c>
      <c r="AB9" t="s">
        <v>68</v>
      </c>
      <c r="AC9" t="s">
        <v>86</v>
      </c>
      <c r="AD9" t="s">
        <v>84</v>
      </c>
      <c r="AE9" t="s">
        <v>93</v>
      </c>
      <c r="AF9" t="s">
        <v>71</v>
      </c>
      <c r="AG9" t="s">
        <v>84</v>
      </c>
      <c r="AH9" t="s">
        <v>72</v>
      </c>
      <c r="AI9" t="s">
        <v>89</v>
      </c>
      <c r="AJ9" t="s">
        <v>99</v>
      </c>
      <c r="AK9" t="s">
        <v>85</v>
      </c>
      <c r="AL9" t="s">
        <v>84</v>
      </c>
      <c r="AM9" t="s">
        <v>84</v>
      </c>
      <c r="AN9" t="s">
        <v>95</v>
      </c>
      <c r="AO9" t="s">
        <v>92</v>
      </c>
      <c r="AP9" t="s">
        <v>82</v>
      </c>
      <c r="AQ9" t="s">
        <v>95</v>
      </c>
      <c r="AR9" t="s">
        <v>75</v>
      </c>
      <c r="AS9" t="s">
        <v>75</v>
      </c>
      <c r="AT9" t="s">
        <v>82</v>
      </c>
      <c r="AU9" t="s">
        <v>83</v>
      </c>
      <c r="AV9" t="s">
        <v>94</v>
      </c>
    </row>
    <row r="10" spans="1:57" ht="15" customHeight="1" x14ac:dyDescent="0.25">
      <c r="A10" t="s">
        <v>87</v>
      </c>
      <c r="B10" t="s">
        <v>72</v>
      </c>
      <c r="C10" t="s">
        <v>73</v>
      </c>
      <c r="D10" t="s">
        <v>84</v>
      </c>
      <c r="E10" t="s">
        <v>84</v>
      </c>
      <c r="F10" t="s">
        <v>98</v>
      </c>
      <c r="G10" t="s">
        <v>71</v>
      </c>
      <c r="H10" t="s">
        <v>71</v>
      </c>
      <c r="I10" t="s">
        <v>72</v>
      </c>
      <c r="J10" t="s">
        <v>71</v>
      </c>
      <c r="K10" t="s">
        <v>71</v>
      </c>
      <c r="L10" t="s">
        <v>84</v>
      </c>
      <c r="M10" t="s">
        <v>84</v>
      </c>
      <c r="N10" t="s">
        <v>93</v>
      </c>
      <c r="O10" t="s">
        <v>71</v>
      </c>
      <c r="P10" t="s">
        <v>72</v>
      </c>
      <c r="Q10" t="s">
        <v>72</v>
      </c>
      <c r="R10" t="s">
        <v>72</v>
      </c>
      <c r="S10" t="s">
        <v>84</v>
      </c>
      <c r="T10" t="s">
        <v>71</v>
      </c>
      <c r="U10" t="s">
        <v>71</v>
      </c>
      <c r="V10" t="s">
        <v>72</v>
      </c>
      <c r="W10" t="s">
        <v>64</v>
      </c>
      <c r="X10" t="s">
        <v>64</v>
      </c>
      <c r="Y10" t="s">
        <v>96</v>
      </c>
      <c r="Z10" t="s">
        <v>84</v>
      </c>
      <c r="AA10" t="s">
        <v>84</v>
      </c>
      <c r="AB10" t="s">
        <v>71</v>
      </c>
      <c r="AC10" t="s">
        <v>90</v>
      </c>
      <c r="AD10" t="s">
        <v>70</v>
      </c>
      <c r="AE10" t="s">
        <v>97</v>
      </c>
      <c r="AF10" t="s">
        <v>88</v>
      </c>
      <c r="AG10" t="s">
        <v>92</v>
      </c>
      <c r="AH10" t="s">
        <v>96</v>
      </c>
      <c r="AI10" t="s">
        <v>90</v>
      </c>
      <c r="AJ10" t="s">
        <v>75</v>
      </c>
      <c r="AK10" t="s">
        <v>64</v>
      </c>
      <c r="AL10" t="s">
        <v>83</v>
      </c>
      <c r="AM10" t="s">
        <v>90</v>
      </c>
      <c r="AN10" t="s">
        <v>80</v>
      </c>
      <c r="AO10" t="s">
        <v>75</v>
      </c>
      <c r="AP10" t="s">
        <v>94</v>
      </c>
      <c r="AQ10" t="s">
        <v>82</v>
      </c>
      <c r="AR10" t="s">
        <v>80</v>
      </c>
      <c r="AS10" t="s">
        <v>74</v>
      </c>
      <c r="AT10" t="s">
        <v>94</v>
      </c>
    </row>
    <row r="11" spans="1:57" ht="15" customHeight="1" x14ac:dyDescent="0.25">
      <c r="A11" t="s">
        <v>71</v>
      </c>
      <c r="B11" t="s">
        <v>73</v>
      </c>
      <c r="C11" t="s">
        <v>64</v>
      </c>
      <c r="D11" t="s">
        <v>88</v>
      </c>
      <c r="E11" t="s">
        <v>98</v>
      </c>
      <c r="F11" t="s">
        <v>63</v>
      </c>
      <c r="G11" t="s">
        <v>72</v>
      </c>
      <c r="H11" t="s">
        <v>98</v>
      </c>
      <c r="I11" t="s">
        <v>73</v>
      </c>
      <c r="J11" t="s">
        <v>76</v>
      </c>
      <c r="K11" t="s">
        <v>84</v>
      </c>
      <c r="L11" t="s">
        <v>88</v>
      </c>
      <c r="M11" t="s">
        <v>67</v>
      </c>
      <c r="N11" t="s">
        <v>84</v>
      </c>
      <c r="O11" t="s">
        <v>84</v>
      </c>
      <c r="P11" t="s">
        <v>73</v>
      </c>
      <c r="Q11" t="s">
        <v>88</v>
      </c>
      <c r="R11" t="s">
        <v>73</v>
      </c>
      <c r="S11" t="s">
        <v>99</v>
      </c>
      <c r="T11" t="s">
        <v>88</v>
      </c>
      <c r="U11" t="s">
        <v>88</v>
      </c>
      <c r="V11" t="s">
        <v>73</v>
      </c>
      <c r="W11" t="s">
        <v>92</v>
      </c>
      <c r="X11" t="s">
        <v>96</v>
      </c>
      <c r="Y11" t="s">
        <v>89</v>
      </c>
      <c r="Z11" t="s">
        <v>89</v>
      </c>
      <c r="AA11" t="s">
        <v>72</v>
      </c>
      <c r="AB11" t="s">
        <v>88</v>
      </c>
      <c r="AC11" t="s">
        <v>75</v>
      </c>
      <c r="AD11" t="s">
        <v>90</v>
      </c>
      <c r="AE11" t="s">
        <v>81</v>
      </c>
      <c r="AF11" t="s">
        <v>92</v>
      </c>
      <c r="AG11" t="s">
        <v>75</v>
      </c>
      <c r="AH11" t="s">
        <v>89</v>
      </c>
      <c r="AI11" t="s">
        <v>82</v>
      </c>
      <c r="AJ11" t="s">
        <v>92</v>
      </c>
      <c r="AK11" t="s">
        <v>83</v>
      </c>
      <c r="AL11" t="s">
        <v>90</v>
      </c>
      <c r="AM11" t="s">
        <v>82</v>
      </c>
      <c r="AN11" t="s">
        <v>94</v>
      </c>
      <c r="AO11" t="s">
        <v>91</v>
      </c>
      <c r="AP11" t="s">
        <v>100</v>
      </c>
      <c r="AQ11" t="s">
        <v>94</v>
      </c>
      <c r="AR11" t="s">
        <v>91</v>
      </c>
    </row>
    <row r="12" spans="1:57" ht="15" customHeight="1" x14ac:dyDescent="0.25">
      <c r="A12" t="s">
        <v>85</v>
      </c>
      <c r="B12" t="s">
        <v>63</v>
      </c>
      <c r="C12" t="s">
        <v>71</v>
      </c>
      <c r="D12" t="s">
        <v>89</v>
      </c>
      <c r="E12" t="s">
        <v>64</v>
      </c>
      <c r="F12" t="s">
        <v>99</v>
      </c>
      <c r="G12" t="s">
        <v>88</v>
      </c>
      <c r="H12" t="s">
        <v>101</v>
      </c>
      <c r="I12" t="s">
        <v>78</v>
      </c>
      <c r="J12" t="s">
        <v>98</v>
      </c>
      <c r="K12" t="s">
        <v>63</v>
      </c>
      <c r="L12" t="s">
        <v>64</v>
      </c>
      <c r="M12" t="s">
        <v>82</v>
      </c>
      <c r="N12" t="s">
        <v>97</v>
      </c>
      <c r="O12" t="s">
        <v>90</v>
      </c>
      <c r="P12" t="s">
        <v>89</v>
      </c>
      <c r="Q12" t="s">
        <v>96</v>
      </c>
      <c r="R12" t="s">
        <v>90</v>
      </c>
      <c r="S12" t="s">
        <v>90</v>
      </c>
      <c r="T12" t="s">
        <v>89</v>
      </c>
      <c r="U12" t="s">
        <v>101</v>
      </c>
      <c r="V12" t="s">
        <v>92</v>
      </c>
      <c r="W12" t="s">
        <v>83</v>
      </c>
      <c r="X12" t="s">
        <v>89</v>
      </c>
      <c r="Y12" t="s">
        <v>75</v>
      </c>
      <c r="Z12" t="s">
        <v>90</v>
      </c>
      <c r="AA12" t="s">
        <v>82</v>
      </c>
      <c r="AB12" t="s">
        <v>92</v>
      </c>
      <c r="AC12" t="s">
        <v>83</v>
      </c>
      <c r="AD12" t="s">
        <v>82</v>
      </c>
      <c r="AE12" t="s">
        <v>82</v>
      </c>
      <c r="AF12" t="s">
        <v>82</v>
      </c>
      <c r="AG12" t="s">
        <v>83</v>
      </c>
      <c r="AH12" t="s">
        <v>75</v>
      </c>
      <c r="AI12" t="s">
        <v>102</v>
      </c>
      <c r="AJ12" t="s">
        <v>94</v>
      </c>
      <c r="AK12" t="s">
        <v>75</v>
      </c>
      <c r="AL12" t="s">
        <v>94</v>
      </c>
      <c r="AM12" t="s">
        <v>94</v>
      </c>
      <c r="AN12" t="s">
        <v>74</v>
      </c>
    </row>
    <row r="13" spans="1:57" ht="15" customHeight="1" x14ac:dyDescent="0.25">
      <c r="A13" t="s">
        <v>72</v>
      </c>
      <c r="B13" t="s">
        <v>81</v>
      </c>
      <c r="C13" t="s">
        <v>97</v>
      </c>
      <c r="D13" t="s">
        <v>79</v>
      </c>
      <c r="E13" t="s">
        <v>99</v>
      </c>
      <c r="F13" t="s">
        <v>79</v>
      </c>
      <c r="G13" t="s">
        <v>89</v>
      </c>
      <c r="H13" t="s">
        <v>90</v>
      </c>
      <c r="I13" t="s">
        <v>101</v>
      </c>
      <c r="J13" t="s">
        <v>72</v>
      </c>
      <c r="K13" t="s">
        <v>101</v>
      </c>
      <c r="L13" t="s">
        <v>89</v>
      </c>
      <c r="M13" t="s">
        <v>104</v>
      </c>
      <c r="N13" t="s">
        <v>95</v>
      </c>
      <c r="O13" t="s">
        <v>75</v>
      </c>
      <c r="P13" t="s">
        <v>82</v>
      </c>
      <c r="Q13" t="s">
        <v>89</v>
      </c>
      <c r="R13" t="s">
        <v>82</v>
      </c>
      <c r="S13" t="s">
        <v>75</v>
      </c>
      <c r="T13" t="s">
        <v>90</v>
      </c>
      <c r="U13" t="s">
        <v>90</v>
      </c>
      <c r="V13" t="s">
        <v>75</v>
      </c>
      <c r="W13" t="s">
        <v>90</v>
      </c>
      <c r="X13" t="s">
        <v>75</v>
      </c>
      <c r="Y13" t="s">
        <v>83</v>
      </c>
      <c r="Z13" t="s">
        <v>82</v>
      </c>
      <c r="AA13" t="s">
        <v>94</v>
      </c>
      <c r="AB13" t="s">
        <v>83</v>
      </c>
      <c r="AC13" t="s">
        <v>103</v>
      </c>
      <c r="AD13" t="s">
        <v>94</v>
      </c>
      <c r="AE13" t="s">
        <v>90</v>
      </c>
      <c r="AF13" t="s">
        <v>94</v>
      </c>
      <c r="AG13" t="s">
        <v>91</v>
      </c>
      <c r="AH13" t="s">
        <v>94</v>
      </c>
      <c r="AI13" t="s">
        <v>91</v>
      </c>
      <c r="AJ13" t="s">
        <v>74</v>
      </c>
    </row>
    <row r="14" spans="1:57" ht="15" customHeight="1" x14ac:dyDescent="0.25">
      <c r="A14" t="s">
        <v>97</v>
      </c>
      <c r="B14" t="s">
        <v>90</v>
      </c>
      <c r="C14" t="s">
        <v>90</v>
      </c>
      <c r="D14" t="s">
        <v>82</v>
      </c>
      <c r="E14" t="s">
        <v>95</v>
      </c>
      <c r="F14" t="s">
        <v>82</v>
      </c>
      <c r="G14" t="s">
        <v>92</v>
      </c>
      <c r="H14" t="s">
        <v>82</v>
      </c>
      <c r="I14" t="s">
        <v>75</v>
      </c>
      <c r="J14" t="s">
        <v>90</v>
      </c>
      <c r="K14" t="s">
        <v>82</v>
      </c>
      <c r="L14" t="s">
        <v>90</v>
      </c>
      <c r="M14" t="s">
        <v>90</v>
      </c>
      <c r="N14" t="s">
        <v>82</v>
      </c>
      <c r="O14" t="s">
        <v>104</v>
      </c>
      <c r="P14" t="s">
        <v>83</v>
      </c>
      <c r="Q14" t="s">
        <v>82</v>
      </c>
      <c r="R14" t="s">
        <v>102</v>
      </c>
      <c r="S14" t="s">
        <v>83</v>
      </c>
      <c r="T14" t="s">
        <v>83</v>
      </c>
      <c r="U14" t="s">
        <v>83</v>
      </c>
      <c r="V14" t="s">
        <v>83</v>
      </c>
      <c r="W14" t="s">
        <v>74</v>
      </c>
      <c r="X14" t="s">
        <v>94</v>
      </c>
      <c r="Y14" t="s">
        <v>74</v>
      </c>
      <c r="Z14" t="s">
        <v>102</v>
      </c>
      <c r="AA14" t="s">
        <v>91</v>
      </c>
      <c r="AB14" t="s">
        <v>74</v>
      </c>
      <c r="AC14" t="s">
        <v>91</v>
      </c>
      <c r="AD14" t="s">
        <v>91</v>
      </c>
      <c r="AE14" t="s">
        <v>94</v>
      </c>
    </row>
    <row r="15" spans="1:57" ht="15" customHeight="1" x14ac:dyDescent="0.25">
      <c r="A15" t="s">
        <v>104</v>
      </c>
      <c r="B15" t="s">
        <v>75</v>
      </c>
      <c r="C15" t="s">
        <v>82</v>
      </c>
      <c r="D15" t="s">
        <v>105</v>
      </c>
      <c r="E15" t="s">
        <v>82</v>
      </c>
      <c r="F15" t="s">
        <v>105</v>
      </c>
      <c r="G15" t="s">
        <v>75</v>
      </c>
      <c r="H15" t="s">
        <v>83</v>
      </c>
      <c r="I15" t="s">
        <v>83</v>
      </c>
      <c r="J15" t="s">
        <v>75</v>
      </c>
      <c r="K15" t="s">
        <v>90</v>
      </c>
      <c r="L15" t="s">
        <v>82</v>
      </c>
      <c r="M15" t="s">
        <v>83</v>
      </c>
      <c r="N15" t="s">
        <v>94</v>
      </c>
      <c r="O15" t="s">
        <v>100</v>
      </c>
      <c r="P15" t="s">
        <v>90</v>
      </c>
      <c r="Q15" t="s">
        <v>94</v>
      </c>
      <c r="R15" t="s">
        <v>91</v>
      </c>
      <c r="S15" t="s">
        <v>74</v>
      </c>
      <c r="T15" t="s">
        <v>91</v>
      </c>
      <c r="U15" t="s">
        <v>91</v>
      </c>
      <c r="V15" t="s">
        <v>74</v>
      </c>
    </row>
    <row r="16" spans="1:57" ht="15" customHeight="1" x14ac:dyDescent="0.25">
      <c r="A16" t="s">
        <v>92</v>
      </c>
      <c r="B16" t="s">
        <v>104</v>
      </c>
      <c r="C16" t="s">
        <v>105</v>
      </c>
      <c r="D16" t="s">
        <v>90</v>
      </c>
      <c r="E16" t="s">
        <v>105</v>
      </c>
      <c r="F16" t="s">
        <v>92</v>
      </c>
      <c r="G16" t="s">
        <v>83</v>
      </c>
      <c r="H16" t="s">
        <v>74</v>
      </c>
      <c r="I16" t="s">
        <v>91</v>
      </c>
      <c r="J16" t="s">
        <v>83</v>
      </c>
      <c r="K16" t="s">
        <v>102</v>
      </c>
      <c r="L16" t="s">
        <v>91</v>
      </c>
      <c r="M16" t="s">
        <v>100</v>
      </c>
      <c r="N16" t="s">
        <v>91</v>
      </c>
      <c r="O16" t="s">
        <v>91</v>
      </c>
      <c r="P16" t="s">
        <v>100</v>
      </c>
    </row>
    <row r="17" spans="1:7" ht="15" customHeight="1" x14ac:dyDescent="0.25">
      <c r="A17" t="s">
        <v>94</v>
      </c>
      <c r="B17" t="s">
        <v>94</v>
      </c>
      <c r="C17" t="s">
        <v>94</v>
      </c>
      <c r="D17" t="s">
        <v>103</v>
      </c>
      <c r="E17" t="s">
        <v>92</v>
      </c>
      <c r="F17" t="s">
        <v>103</v>
      </c>
      <c r="G17" t="s">
        <v>91</v>
      </c>
    </row>
    <row r="18" spans="1:7" ht="15" customHeight="1" x14ac:dyDescent="0.25">
      <c r="A18" t="s">
        <v>91</v>
      </c>
      <c r="B18" t="s">
        <v>91</v>
      </c>
      <c r="C18" t="s">
        <v>91</v>
      </c>
      <c r="D18" t="s">
        <v>74</v>
      </c>
      <c r="E18" t="s">
        <v>103</v>
      </c>
      <c r="F18" t="s">
        <v>74</v>
      </c>
    </row>
    <row r="19" spans="1:7" ht="15" customHeight="1" x14ac:dyDescent="0.25"/>
    <row r="20" spans="1:7" ht="15" customHeight="1" x14ac:dyDescent="0.25"/>
    <row r="21" spans="1:7" ht="15" customHeight="1" x14ac:dyDescent="0.25"/>
    <row r="22" spans="1:7" ht="15" customHeight="1" x14ac:dyDescent="0.25"/>
    <row r="23" spans="1:7" ht="15" customHeight="1" x14ac:dyDescent="0.25"/>
    <row r="24" spans="1:7" ht="15" customHeight="1" x14ac:dyDescent="0.25"/>
    <row r="25" spans="1:7" ht="15" customHeight="1" x14ac:dyDescent="0.25"/>
    <row r="26" spans="1:7" ht="15.75" customHeight="1" x14ac:dyDescent="0.25"/>
    <row r="27" spans="1:7" ht="15" customHeight="1" x14ac:dyDescent="0.25"/>
    <row r="28" spans="1:7" ht="15" customHeight="1" x14ac:dyDescent="0.25"/>
    <row r="29" spans="1:7" ht="15" customHeight="1" x14ac:dyDescent="0.25"/>
    <row r="30" spans="1:7" ht="15" customHeight="1" x14ac:dyDescent="0.25"/>
    <row r="31" spans="1:7" ht="15" customHeight="1" x14ac:dyDescent="0.25"/>
    <row r="32" spans="1:7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sortState xmlns:xlrd2="http://schemas.microsoft.com/office/spreadsheetml/2017/richdata2" columnSort="1" ref="A1:BE26">
    <sortCondition descending="1" ref="A1:BE1"/>
  </sortState>
  <conditionalFormatting sqref="A4:XFD17">
    <cfRule type="expression" dxfId="1" priority="1">
      <formula>"&gt;2025-11-05"</formula>
    </cfRule>
    <cfRule type="expression" dxfId="0" priority="7" stopIfTrue="1">
      <formula>A4 &gt; "2025-11-05"</formula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T42"/>
  <sheetViews>
    <sheetView zoomScaleNormal="100" workbookViewId="0">
      <selection activeCell="CN15" sqref="CN15"/>
    </sheetView>
  </sheetViews>
  <sheetFormatPr defaultRowHeight="14.45" customHeight="1" x14ac:dyDescent="0.25"/>
  <cols>
    <col min="1" max="1" width="10.5703125" customWidth="1"/>
    <col min="2" max="3" width="12" customWidth="1"/>
    <col min="4" max="4" width="17.42578125" customWidth="1"/>
    <col min="5" max="5" width="15.5703125" customWidth="1"/>
    <col min="6" max="6" width="16" customWidth="1"/>
    <col min="7" max="7" width="13" customWidth="1"/>
    <col min="8" max="8" width="13.7109375" customWidth="1"/>
    <col min="9" max="9" width="13.42578125" customWidth="1"/>
    <col min="11" max="11" width="19" customWidth="1"/>
    <col min="12" max="12" width="12.85546875" customWidth="1"/>
    <col min="13" max="13" width="19.5703125" customWidth="1"/>
    <col min="14" max="14" width="20.42578125" customWidth="1"/>
    <col min="16" max="16" width="20.28515625" customWidth="1"/>
    <col min="17" max="17" width="15.85546875" customWidth="1"/>
    <col min="19" max="19" width="30.42578125" customWidth="1"/>
    <col min="22" max="22" width="17.42578125" customWidth="1"/>
    <col min="25" max="25" width="22.85546875" customWidth="1"/>
    <col min="29" max="29" width="19" customWidth="1"/>
    <col min="30" max="30" width="10.7109375" customWidth="1"/>
    <col min="33" max="33" width="13.7109375" customWidth="1"/>
    <col min="34" max="34" width="14.140625" customWidth="1"/>
    <col min="35" max="35" width="14.5703125" customWidth="1"/>
    <col min="38" max="38" width="15.5703125" customWidth="1"/>
    <col min="40" max="40" width="15.42578125" customWidth="1"/>
    <col min="41" max="41" width="23.28515625" customWidth="1"/>
    <col min="43" max="43" width="11.42578125" customWidth="1"/>
    <col min="45" max="45" width="12.85546875" customWidth="1"/>
    <col min="47" max="47" width="15.7109375" customWidth="1"/>
    <col min="48" max="48" width="14" customWidth="1"/>
    <col min="49" max="49" width="16.5703125" customWidth="1"/>
    <col min="52" max="52" width="12.140625" customWidth="1"/>
    <col min="56" max="56" width="28.5703125" customWidth="1"/>
    <col min="57" max="57" width="18.28515625" customWidth="1"/>
    <col min="58" max="58" width="13.140625" customWidth="1"/>
    <col min="59" max="59" width="11" customWidth="1"/>
    <col min="60" max="60" width="12.7109375" customWidth="1"/>
    <col min="64" max="64" width="13.85546875" customWidth="1"/>
    <col min="65" max="65" width="14.85546875" customWidth="1"/>
    <col min="66" max="66" width="15" customWidth="1"/>
    <col min="70" max="70" width="17.140625" customWidth="1"/>
    <col min="72" max="72" width="24.140625" customWidth="1"/>
    <col min="73" max="73" width="18.42578125" customWidth="1"/>
    <col min="81" max="81" width="13.7109375" customWidth="1"/>
    <col min="83" max="83" width="17.28515625" customWidth="1"/>
  </cols>
  <sheetData>
    <row r="3" spans="1:46" ht="15" customHeight="1" x14ac:dyDescent="0.25">
      <c r="A3" t="s">
        <v>65</v>
      </c>
      <c r="B3" t="s">
        <v>66</v>
      </c>
      <c r="C3" t="s">
        <v>60</v>
      </c>
      <c r="D3" t="s">
        <v>61</v>
      </c>
      <c r="E3" t="s">
        <v>69</v>
      </c>
      <c r="F3" t="s">
        <v>77</v>
      </c>
      <c r="G3" t="s">
        <v>62</v>
      </c>
      <c r="H3" t="s">
        <v>70</v>
      </c>
      <c r="I3" t="s">
        <v>86</v>
      </c>
      <c r="J3" t="s">
        <v>67</v>
      </c>
      <c r="K3" t="s">
        <v>76</v>
      </c>
      <c r="L3" t="s">
        <v>78</v>
      </c>
      <c r="M3" t="s">
        <v>63</v>
      </c>
      <c r="N3" t="s">
        <v>64</v>
      </c>
      <c r="O3" t="s">
        <v>87</v>
      </c>
      <c r="P3" t="s">
        <v>68</v>
      </c>
      <c r="Q3" t="s">
        <v>71</v>
      </c>
      <c r="R3" t="s">
        <v>93</v>
      </c>
      <c r="S3" t="s">
        <v>85</v>
      </c>
      <c r="T3" t="s">
        <v>84</v>
      </c>
      <c r="U3" t="s">
        <v>72</v>
      </c>
      <c r="V3" t="s">
        <v>73</v>
      </c>
      <c r="W3" t="s">
        <v>88</v>
      </c>
      <c r="X3" t="s">
        <v>98</v>
      </c>
      <c r="Y3" t="s">
        <v>97</v>
      </c>
      <c r="Z3" t="s">
        <v>96</v>
      </c>
      <c r="AA3" t="s">
        <v>89</v>
      </c>
      <c r="AB3" t="s">
        <v>99</v>
      </c>
      <c r="AC3" t="s">
        <v>101</v>
      </c>
      <c r="AD3" t="s">
        <v>81</v>
      </c>
      <c r="AE3" t="s">
        <v>92</v>
      </c>
      <c r="AF3" t="s">
        <v>95</v>
      </c>
      <c r="AG3" t="s">
        <v>90</v>
      </c>
      <c r="AH3" t="s">
        <v>79</v>
      </c>
      <c r="AI3" t="s">
        <v>75</v>
      </c>
      <c r="AJ3" t="s">
        <v>82</v>
      </c>
      <c r="AK3" t="s">
        <v>105</v>
      </c>
      <c r="AL3" t="s">
        <v>80</v>
      </c>
      <c r="AM3" t="s">
        <v>104</v>
      </c>
      <c r="AN3" t="s">
        <v>83</v>
      </c>
      <c r="AO3" t="s">
        <v>102</v>
      </c>
      <c r="AP3" t="s">
        <v>94</v>
      </c>
      <c r="AQ3" t="s">
        <v>103</v>
      </c>
      <c r="AR3" t="s">
        <v>100</v>
      </c>
      <c r="AS3" t="s">
        <v>74</v>
      </c>
      <c r="AT3" t="s">
        <v>91</v>
      </c>
    </row>
    <row r="4" spans="1:46" ht="15" customHeight="1" x14ac:dyDescent="0.25">
      <c r="A4" t="s">
        <v>15</v>
      </c>
      <c r="B4" t="s">
        <v>25</v>
      </c>
      <c r="C4" t="s">
        <v>3</v>
      </c>
      <c r="D4" t="s">
        <v>15</v>
      </c>
      <c r="E4" t="s">
        <v>48</v>
      </c>
      <c r="F4" t="s">
        <v>49</v>
      </c>
      <c r="G4" t="s">
        <v>9</v>
      </c>
      <c r="H4" t="s">
        <v>3</v>
      </c>
      <c r="I4" t="s">
        <v>41</v>
      </c>
      <c r="J4" t="s">
        <v>9</v>
      </c>
      <c r="K4" t="s">
        <v>27</v>
      </c>
      <c r="L4" t="s">
        <v>51</v>
      </c>
      <c r="M4" t="s">
        <v>39</v>
      </c>
      <c r="N4" t="s">
        <v>3</v>
      </c>
      <c r="O4" t="s">
        <v>52</v>
      </c>
      <c r="P4" t="s">
        <v>34</v>
      </c>
      <c r="Q4" t="s">
        <v>15</v>
      </c>
      <c r="R4" t="s">
        <v>41</v>
      </c>
      <c r="S4" t="s">
        <v>6</v>
      </c>
      <c r="T4" t="s">
        <v>35</v>
      </c>
      <c r="U4" t="s">
        <v>39</v>
      </c>
      <c r="V4" t="s">
        <v>39</v>
      </c>
      <c r="W4" t="s">
        <v>9</v>
      </c>
      <c r="X4" t="s">
        <v>15</v>
      </c>
      <c r="Y4" t="s">
        <v>41</v>
      </c>
      <c r="Z4" t="s">
        <v>5</v>
      </c>
      <c r="AA4" t="s">
        <v>47</v>
      </c>
      <c r="AB4" t="s">
        <v>48</v>
      </c>
      <c r="AC4" t="s">
        <v>25</v>
      </c>
      <c r="AD4" t="s">
        <v>49</v>
      </c>
      <c r="AE4" t="s">
        <v>9</v>
      </c>
      <c r="AF4" t="s">
        <v>41</v>
      </c>
      <c r="AG4" t="s">
        <v>31</v>
      </c>
      <c r="AH4" t="s">
        <v>48</v>
      </c>
      <c r="AI4" t="s">
        <v>9</v>
      </c>
      <c r="AJ4" t="s">
        <v>31</v>
      </c>
      <c r="AK4" t="s">
        <v>48</v>
      </c>
      <c r="AL4" t="s">
        <v>52</v>
      </c>
      <c r="AM4" t="s">
        <v>39</v>
      </c>
      <c r="AN4" t="s">
        <v>9</v>
      </c>
      <c r="AO4" t="s">
        <v>31</v>
      </c>
      <c r="AP4" t="s">
        <v>41</v>
      </c>
      <c r="AQ4" t="s">
        <v>48</v>
      </c>
      <c r="AR4" t="s">
        <v>49</v>
      </c>
      <c r="AS4" t="s">
        <v>48</v>
      </c>
      <c r="AT4" t="s">
        <v>31</v>
      </c>
    </row>
    <row r="5" spans="1:46" ht="15" customHeight="1" x14ac:dyDescent="0.25">
      <c r="A5" t="s">
        <v>16</v>
      </c>
      <c r="B5" t="s">
        <v>24</v>
      </c>
      <c r="C5" t="s">
        <v>43</v>
      </c>
      <c r="D5" t="s">
        <v>19</v>
      </c>
      <c r="E5" t="s">
        <v>47</v>
      </c>
      <c r="F5" t="s">
        <v>36</v>
      </c>
      <c r="G5" t="s">
        <v>4</v>
      </c>
      <c r="H5" t="s">
        <v>27</v>
      </c>
      <c r="I5" t="s">
        <v>4</v>
      </c>
      <c r="J5" t="s">
        <v>43</v>
      </c>
      <c r="K5" t="s">
        <v>48</v>
      </c>
      <c r="L5" t="s">
        <v>52</v>
      </c>
      <c r="M5" t="s">
        <v>48</v>
      </c>
      <c r="N5" t="s">
        <v>4</v>
      </c>
      <c r="O5" t="s">
        <v>36</v>
      </c>
      <c r="P5" t="s">
        <v>33</v>
      </c>
      <c r="Q5" t="s">
        <v>24</v>
      </c>
      <c r="R5" t="s">
        <v>4</v>
      </c>
      <c r="S5" t="s">
        <v>36</v>
      </c>
      <c r="T5" t="s">
        <v>52</v>
      </c>
      <c r="U5" t="s">
        <v>36</v>
      </c>
      <c r="V5" t="s">
        <v>47</v>
      </c>
      <c r="W5" t="s">
        <v>43</v>
      </c>
      <c r="X5" t="s">
        <v>48</v>
      </c>
      <c r="Y5" t="s">
        <v>36</v>
      </c>
      <c r="Z5" t="s">
        <v>3</v>
      </c>
      <c r="AA5" t="s">
        <v>43</v>
      </c>
      <c r="AB5" t="s">
        <v>20</v>
      </c>
      <c r="AC5" t="s">
        <v>15</v>
      </c>
      <c r="AD5" t="s">
        <v>39</v>
      </c>
      <c r="AE5" t="s">
        <v>4</v>
      </c>
      <c r="AF5" t="s">
        <v>51</v>
      </c>
      <c r="AG5" t="s">
        <v>15</v>
      </c>
      <c r="AH5" t="s">
        <v>43</v>
      </c>
      <c r="AI5" t="s">
        <v>52</v>
      </c>
      <c r="AJ5" t="s">
        <v>35</v>
      </c>
      <c r="AK5" t="s">
        <v>43</v>
      </c>
      <c r="AL5" t="s">
        <v>56</v>
      </c>
      <c r="AM5" t="s">
        <v>36</v>
      </c>
      <c r="AN5" t="s">
        <v>4</v>
      </c>
      <c r="AO5" t="s">
        <v>19</v>
      </c>
      <c r="AP5" t="s">
        <v>51</v>
      </c>
      <c r="AQ5" t="s">
        <v>43</v>
      </c>
      <c r="AR5" t="s">
        <v>47</v>
      </c>
      <c r="AS5" t="s">
        <v>4</v>
      </c>
      <c r="AT5" t="s">
        <v>27</v>
      </c>
    </row>
    <row r="6" spans="1:46" ht="15" customHeight="1" x14ac:dyDescent="0.25">
      <c r="A6" t="s">
        <v>17</v>
      </c>
      <c r="B6" t="s">
        <v>23</v>
      </c>
      <c r="C6" t="s">
        <v>7</v>
      </c>
      <c r="D6" t="s">
        <v>18</v>
      </c>
      <c r="E6" t="s">
        <v>45</v>
      </c>
      <c r="F6" t="s">
        <v>37</v>
      </c>
      <c r="G6" t="s">
        <v>7</v>
      </c>
      <c r="H6" t="s">
        <v>10</v>
      </c>
      <c r="I6" t="s">
        <v>8</v>
      </c>
      <c r="J6" t="s">
        <v>53</v>
      </c>
      <c r="K6" t="s">
        <v>18</v>
      </c>
      <c r="L6" t="s">
        <v>53</v>
      </c>
      <c r="M6" t="s">
        <v>37</v>
      </c>
      <c r="N6" t="s">
        <v>14</v>
      </c>
      <c r="O6" t="s">
        <v>42</v>
      </c>
      <c r="P6" t="s">
        <v>17</v>
      </c>
      <c r="Q6" t="s">
        <v>22</v>
      </c>
      <c r="R6" t="s">
        <v>42</v>
      </c>
      <c r="S6" t="s">
        <v>32</v>
      </c>
      <c r="T6" t="s">
        <v>42</v>
      </c>
      <c r="U6" t="s">
        <v>57</v>
      </c>
      <c r="V6" t="s">
        <v>58</v>
      </c>
      <c r="W6" t="s">
        <v>10</v>
      </c>
      <c r="X6" t="s">
        <v>18</v>
      </c>
      <c r="Y6" t="s">
        <v>40</v>
      </c>
      <c r="Z6" t="s">
        <v>10</v>
      </c>
      <c r="AA6" t="s">
        <v>32</v>
      </c>
      <c r="AB6" t="s">
        <v>53</v>
      </c>
      <c r="AC6" t="s">
        <v>17</v>
      </c>
      <c r="AD6" t="s">
        <v>57</v>
      </c>
      <c r="AE6" t="s">
        <v>7</v>
      </c>
      <c r="AF6" t="s">
        <v>38</v>
      </c>
      <c r="AG6" t="s">
        <v>18</v>
      </c>
      <c r="AH6" t="s">
        <v>55</v>
      </c>
      <c r="AI6" t="s">
        <v>53</v>
      </c>
      <c r="AJ6" t="s">
        <v>50</v>
      </c>
      <c r="AK6" t="s">
        <v>40</v>
      </c>
      <c r="AL6" t="s">
        <v>55</v>
      </c>
      <c r="AM6" t="s">
        <v>37</v>
      </c>
      <c r="AN6" t="s">
        <v>10</v>
      </c>
      <c r="AO6" t="s">
        <v>23</v>
      </c>
      <c r="AP6" t="s">
        <v>53</v>
      </c>
      <c r="AQ6" t="s">
        <v>29</v>
      </c>
      <c r="AR6" t="s">
        <v>37</v>
      </c>
      <c r="AS6" t="s">
        <v>10</v>
      </c>
      <c r="AT6" t="s">
        <v>17</v>
      </c>
    </row>
    <row r="7" spans="1:46" ht="15" customHeight="1" x14ac:dyDescent="0.25">
      <c r="A7" t="s">
        <v>18</v>
      </c>
      <c r="B7" t="s">
        <v>30</v>
      </c>
      <c r="C7" t="s">
        <v>44</v>
      </c>
      <c r="D7" t="s">
        <v>26</v>
      </c>
      <c r="E7" t="s">
        <v>44</v>
      </c>
      <c r="F7" t="s">
        <v>45</v>
      </c>
      <c r="G7" t="s">
        <v>11</v>
      </c>
      <c r="H7" t="s">
        <v>18</v>
      </c>
      <c r="I7" t="s">
        <v>46</v>
      </c>
      <c r="J7" t="s">
        <v>44</v>
      </c>
      <c r="K7" t="s">
        <v>32</v>
      </c>
      <c r="L7" t="s">
        <v>38</v>
      </c>
      <c r="M7" t="s">
        <v>44</v>
      </c>
      <c r="N7" t="s">
        <v>40</v>
      </c>
      <c r="O7" t="s">
        <v>45</v>
      </c>
      <c r="P7" t="s">
        <v>21</v>
      </c>
      <c r="Q7" t="s">
        <v>26</v>
      </c>
      <c r="R7" t="s">
        <v>46</v>
      </c>
      <c r="S7" t="s">
        <v>12</v>
      </c>
      <c r="T7" t="s">
        <v>45</v>
      </c>
      <c r="U7" t="s">
        <v>50</v>
      </c>
      <c r="V7" t="s">
        <v>40</v>
      </c>
      <c r="W7" t="s">
        <v>7</v>
      </c>
      <c r="X7" t="s">
        <v>44</v>
      </c>
      <c r="Y7" t="s">
        <v>46</v>
      </c>
      <c r="Z7" t="s">
        <v>12</v>
      </c>
      <c r="AA7" t="s">
        <v>30</v>
      </c>
      <c r="AB7" t="s">
        <v>44</v>
      </c>
      <c r="AC7" t="s">
        <v>28</v>
      </c>
      <c r="AD7" t="s">
        <v>46</v>
      </c>
      <c r="AE7" t="s">
        <v>11</v>
      </c>
      <c r="AF7" t="s">
        <v>44</v>
      </c>
      <c r="AG7" t="s">
        <v>21</v>
      </c>
      <c r="AH7" t="s">
        <v>54</v>
      </c>
      <c r="AI7" t="s">
        <v>12</v>
      </c>
      <c r="AJ7" t="s">
        <v>46</v>
      </c>
      <c r="AK7" t="s">
        <v>44</v>
      </c>
      <c r="AL7" t="s">
        <v>38</v>
      </c>
      <c r="AM7" t="s">
        <v>45</v>
      </c>
      <c r="AN7" t="s">
        <v>8</v>
      </c>
      <c r="AO7" t="s">
        <v>28</v>
      </c>
      <c r="AP7" t="s">
        <v>42</v>
      </c>
      <c r="AQ7" t="s">
        <v>44</v>
      </c>
      <c r="AR7" t="s">
        <v>45</v>
      </c>
      <c r="AS7" t="s">
        <v>53</v>
      </c>
      <c r="AT7" t="s">
        <v>30</v>
      </c>
    </row>
    <row r="8" spans="1:46" ht="15" customHeight="1" x14ac:dyDescent="0.25">
      <c r="A8" t="s">
        <v>19</v>
      </c>
      <c r="D8" t="s">
        <v>5</v>
      </c>
      <c r="E8" t="s">
        <v>49</v>
      </c>
      <c r="G8" t="s">
        <v>39</v>
      </c>
      <c r="H8" t="s">
        <v>51</v>
      </c>
      <c r="I8" t="s">
        <v>15</v>
      </c>
      <c r="J8" t="s">
        <v>31</v>
      </c>
      <c r="K8" t="s">
        <v>19</v>
      </c>
      <c r="L8" t="s">
        <v>39</v>
      </c>
      <c r="M8" t="s">
        <v>25</v>
      </c>
      <c r="N8" t="s">
        <v>27</v>
      </c>
      <c r="P8" t="s">
        <v>41</v>
      </c>
      <c r="Q8" t="s">
        <v>41</v>
      </c>
      <c r="T8" t="s">
        <v>19</v>
      </c>
      <c r="U8" t="s">
        <v>9</v>
      </c>
      <c r="V8" t="s">
        <v>19</v>
      </c>
      <c r="W8" t="s">
        <v>3</v>
      </c>
      <c r="AA8" t="s">
        <v>31</v>
      </c>
      <c r="AE8" t="s">
        <v>27</v>
      </c>
      <c r="AG8" t="s">
        <v>39</v>
      </c>
      <c r="AI8" t="s">
        <v>27</v>
      </c>
      <c r="AJ8" t="s">
        <v>49</v>
      </c>
      <c r="AN8" t="s">
        <v>25</v>
      </c>
      <c r="AP8" t="s">
        <v>49</v>
      </c>
      <c r="AS8" t="s">
        <v>15</v>
      </c>
      <c r="AT8" t="s">
        <v>25</v>
      </c>
    </row>
    <row r="9" spans="1:46" ht="15" customHeight="1" x14ac:dyDescent="0.25">
      <c r="A9" t="s">
        <v>20</v>
      </c>
      <c r="D9" t="s">
        <v>6</v>
      </c>
      <c r="E9" t="s">
        <v>39</v>
      </c>
      <c r="G9" t="s">
        <v>36</v>
      </c>
      <c r="H9" t="s">
        <v>52</v>
      </c>
      <c r="I9" t="s">
        <v>20</v>
      </c>
      <c r="J9" t="s">
        <v>16</v>
      </c>
      <c r="K9" t="s">
        <v>16</v>
      </c>
      <c r="L9" t="s">
        <v>47</v>
      </c>
      <c r="M9" t="s">
        <v>19</v>
      </c>
      <c r="N9" t="s">
        <v>24</v>
      </c>
      <c r="P9" t="s">
        <v>43</v>
      </c>
      <c r="Q9" t="s">
        <v>4</v>
      </c>
      <c r="T9" t="s">
        <v>24</v>
      </c>
      <c r="U9" t="s">
        <v>24</v>
      </c>
      <c r="V9" t="s">
        <v>34</v>
      </c>
      <c r="W9" t="s">
        <v>51</v>
      </c>
      <c r="AA9" t="s">
        <v>27</v>
      </c>
      <c r="AE9" t="s">
        <v>34</v>
      </c>
      <c r="AG9" t="s">
        <v>19</v>
      </c>
      <c r="AI9" t="s">
        <v>6</v>
      </c>
      <c r="AJ9" t="s">
        <v>47</v>
      </c>
      <c r="AN9" t="s">
        <v>47</v>
      </c>
      <c r="AP9" t="s">
        <v>39</v>
      </c>
      <c r="AS9" t="s">
        <v>34</v>
      </c>
      <c r="AT9" t="s">
        <v>19</v>
      </c>
    </row>
    <row r="10" spans="1:46" ht="15" customHeight="1" x14ac:dyDescent="0.25">
      <c r="A10" t="s">
        <v>21</v>
      </c>
      <c r="D10" t="s">
        <v>8</v>
      </c>
      <c r="E10" t="s">
        <v>50</v>
      </c>
      <c r="G10" t="s">
        <v>18</v>
      </c>
      <c r="H10" t="s">
        <v>11</v>
      </c>
      <c r="I10" t="s">
        <v>29</v>
      </c>
      <c r="J10" t="s">
        <v>23</v>
      </c>
      <c r="K10" t="s">
        <v>28</v>
      </c>
      <c r="L10" t="s">
        <v>17</v>
      </c>
      <c r="M10" t="s">
        <v>28</v>
      </c>
      <c r="N10" t="s">
        <v>18</v>
      </c>
      <c r="P10" t="s">
        <v>46</v>
      </c>
      <c r="Q10" t="s">
        <v>42</v>
      </c>
      <c r="T10" t="s">
        <v>28</v>
      </c>
      <c r="U10" t="s">
        <v>10</v>
      </c>
      <c r="V10" t="s">
        <v>17</v>
      </c>
      <c r="W10" t="s">
        <v>53</v>
      </c>
      <c r="AA10" t="s">
        <v>23</v>
      </c>
      <c r="AE10" t="s">
        <v>32</v>
      </c>
      <c r="AG10" t="s">
        <v>29</v>
      </c>
      <c r="AI10" t="s">
        <v>17</v>
      </c>
      <c r="AJ10" t="s">
        <v>37</v>
      </c>
      <c r="AN10" t="s">
        <v>22</v>
      </c>
      <c r="AP10" t="s">
        <v>12</v>
      </c>
      <c r="AS10" t="s">
        <v>59</v>
      </c>
      <c r="AT10" t="s">
        <v>29</v>
      </c>
    </row>
    <row r="11" spans="1:46" ht="15" customHeight="1" x14ac:dyDescent="0.25">
      <c r="A11" t="s">
        <v>22</v>
      </c>
      <c r="D11" t="s">
        <v>7</v>
      </c>
      <c r="E11" t="s">
        <v>46</v>
      </c>
      <c r="G11" t="s">
        <v>23</v>
      </c>
      <c r="H11" t="s">
        <v>42</v>
      </c>
      <c r="I11" t="s">
        <v>22</v>
      </c>
      <c r="J11" t="s">
        <v>32</v>
      </c>
      <c r="K11" t="s">
        <v>26</v>
      </c>
      <c r="L11" t="s">
        <v>45</v>
      </c>
      <c r="M11" t="s">
        <v>55</v>
      </c>
      <c r="N11" t="s">
        <v>30</v>
      </c>
      <c r="P11" t="s">
        <v>44</v>
      </c>
      <c r="Q11" t="s">
        <v>46</v>
      </c>
      <c r="T11" t="s">
        <v>30</v>
      </c>
      <c r="U11" t="s">
        <v>18</v>
      </c>
      <c r="V11" t="s">
        <v>29</v>
      </c>
      <c r="W11" t="s">
        <v>11</v>
      </c>
      <c r="AA11" t="s">
        <v>22</v>
      </c>
      <c r="AE11" t="s">
        <v>26</v>
      </c>
      <c r="AG11" t="s">
        <v>30</v>
      </c>
      <c r="AI11" t="s">
        <v>10</v>
      </c>
      <c r="AJ11" t="s">
        <v>28</v>
      </c>
      <c r="AN11" t="s">
        <v>57</v>
      </c>
      <c r="AP11" t="s">
        <v>54</v>
      </c>
      <c r="AS11" t="s">
        <v>26</v>
      </c>
      <c r="AT11" t="s">
        <v>22</v>
      </c>
    </row>
    <row r="12" spans="1:46" ht="15" customHeight="1" x14ac:dyDescent="0.25">
      <c r="A12" t="s">
        <v>35</v>
      </c>
      <c r="D12" t="s">
        <v>20</v>
      </c>
      <c r="E12" t="s">
        <v>6</v>
      </c>
      <c r="G12" t="s">
        <v>3</v>
      </c>
      <c r="H12" t="s">
        <v>48</v>
      </c>
      <c r="J12" t="s">
        <v>5</v>
      </c>
      <c r="L12" t="s">
        <v>49</v>
      </c>
      <c r="M12" t="s">
        <v>41</v>
      </c>
      <c r="N12" t="s">
        <v>31</v>
      </c>
      <c r="P12" t="s">
        <v>51</v>
      </c>
      <c r="Q12" t="s">
        <v>31</v>
      </c>
      <c r="T12" t="s">
        <v>51</v>
      </c>
      <c r="U12" t="s">
        <v>27</v>
      </c>
      <c r="W12" t="s">
        <v>31</v>
      </c>
      <c r="AA12" t="s">
        <v>5</v>
      </c>
      <c r="AE12" t="s">
        <v>48</v>
      </c>
      <c r="AG12" t="s">
        <v>4</v>
      </c>
      <c r="AI12" t="s">
        <v>5</v>
      </c>
      <c r="AJ12" t="s">
        <v>3</v>
      </c>
      <c r="AN12" t="s">
        <v>15</v>
      </c>
      <c r="AP12" t="s">
        <v>5</v>
      </c>
      <c r="AS12" t="s">
        <v>43</v>
      </c>
      <c r="AT12" t="s">
        <v>39</v>
      </c>
    </row>
    <row r="13" spans="1:46" ht="15" customHeight="1" x14ac:dyDescent="0.25">
      <c r="A13" t="s">
        <v>36</v>
      </c>
      <c r="D13" t="s">
        <v>36</v>
      </c>
      <c r="E13" t="s">
        <v>4</v>
      </c>
      <c r="G13" t="s">
        <v>6</v>
      </c>
      <c r="H13" t="s">
        <v>43</v>
      </c>
      <c r="J13" t="s">
        <v>48</v>
      </c>
      <c r="L13" t="s">
        <v>36</v>
      </c>
      <c r="M13" t="s">
        <v>34</v>
      </c>
      <c r="N13" t="s">
        <v>47</v>
      </c>
      <c r="P13" t="s">
        <v>48</v>
      </c>
      <c r="Q13" t="s">
        <v>36</v>
      </c>
      <c r="T13" t="s">
        <v>47</v>
      </c>
      <c r="U13" t="s">
        <v>34</v>
      </c>
      <c r="W13" t="s">
        <v>20</v>
      </c>
      <c r="AA13" t="s">
        <v>3</v>
      </c>
      <c r="AE13" t="s">
        <v>36</v>
      </c>
      <c r="AG13" t="s">
        <v>43</v>
      </c>
      <c r="AI13" t="s">
        <v>34</v>
      </c>
      <c r="AJ13" t="s">
        <v>24</v>
      </c>
      <c r="AN13" t="s">
        <v>16</v>
      </c>
      <c r="AP13" t="s">
        <v>3</v>
      </c>
      <c r="AS13" t="s">
        <v>20</v>
      </c>
      <c r="AT13" t="s">
        <v>24</v>
      </c>
    </row>
    <row r="14" spans="1:46" ht="15" customHeight="1" x14ac:dyDescent="0.25">
      <c r="A14" t="s">
        <v>37</v>
      </c>
      <c r="D14" t="s">
        <v>17</v>
      </c>
      <c r="E14" t="s">
        <v>12</v>
      </c>
      <c r="G14" t="s">
        <v>17</v>
      </c>
      <c r="H14" t="s">
        <v>44</v>
      </c>
      <c r="J14" t="s">
        <v>10</v>
      </c>
      <c r="L14" t="s">
        <v>37</v>
      </c>
      <c r="M14" t="s">
        <v>22</v>
      </c>
      <c r="N14" t="s">
        <v>37</v>
      </c>
      <c r="P14" t="s">
        <v>53</v>
      </c>
      <c r="Q14" t="s">
        <v>18</v>
      </c>
      <c r="T14" t="s">
        <v>17</v>
      </c>
      <c r="U14" t="s">
        <v>21</v>
      </c>
      <c r="W14" t="s">
        <v>23</v>
      </c>
      <c r="AA14" t="s">
        <v>10</v>
      </c>
      <c r="AE14" t="s">
        <v>53</v>
      </c>
      <c r="AG14" t="s">
        <v>40</v>
      </c>
      <c r="AI14" t="s">
        <v>14</v>
      </c>
      <c r="AJ14" t="s">
        <v>7</v>
      </c>
      <c r="AN14" t="s">
        <v>18</v>
      </c>
      <c r="AP14" t="s">
        <v>7</v>
      </c>
      <c r="AS14" t="s">
        <v>32</v>
      </c>
      <c r="AT14" t="s">
        <v>45</v>
      </c>
    </row>
    <row r="15" spans="1:46" ht="15" customHeight="1" x14ac:dyDescent="0.25">
      <c r="A15" t="s">
        <v>38</v>
      </c>
      <c r="D15" t="s">
        <v>45</v>
      </c>
      <c r="E15" t="s">
        <v>7</v>
      </c>
      <c r="G15" t="s">
        <v>29</v>
      </c>
      <c r="H15" t="s">
        <v>54</v>
      </c>
      <c r="J15" t="s">
        <v>40</v>
      </c>
      <c r="L15" t="s">
        <v>40</v>
      </c>
      <c r="M15" t="s">
        <v>50</v>
      </c>
      <c r="N15" t="s">
        <v>28</v>
      </c>
      <c r="P15" t="s">
        <v>38</v>
      </c>
      <c r="Q15" t="s">
        <v>45</v>
      </c>
      <c r="T15" t="s">
        <v>37</v>
      </c>
      <c r="U15" t="s">
        <v>40</v>
      </c>
      <c r="W15" t="s">
        <v>30</v>
      </c>
      <c r="AA15" t="s">
        <v>12</v>
      </c>
      <c r="AE15" t="s">
        <v>44</v>
      </c>
      <c r="AG15" t="s">
        <v>46</v>
      </c>
      <c r="AI15" t="s">
        <v>18</v>
      </c>
      <c r="AJ15" t="s">
        <v>30</v>
      </c>
      <c r="AN15" t="s">
        <v>29</v>
      </c>
      <c r="AP15" t="s">
        <v>38</v>
      </c>
      <c r="AS15" t="s">
        <v>38</v>
      </c>
      <c r="AT15" t="s">
        <v>54</v>
      </c>
    </row>
    <row r="16" spans="1:46" ht="15" customHeight="1" x14ac:dyDescent="0.25">
      <c r="A16" t="s">
        <v>39</v>
      </c>
      <c r="D16" t="s">
        <v>41</v>
      </c>
      <c r="E16" t="s">
        <v>5</v>
      </c>
      <c r="G16" t="s">
        <v>19</v>
      </c>
      <c r="H16" t="s">
        <v>9</v>
      </c>
      <c r="J16" t="s">
        <v>39</v>
      </c>
      <c r="L16" t="s">
        <v>25</v>
      </c>
      <c r="M16" t="s">
        <v>13</v>
      </c>
      <c r="N16" t="s">
        <v>5</v>
      </c>
      <c r="P16" t="s">
        <v>5</v>
      </c>
      <c r="Q16" t="s">
        <v>25</v>
      </c>
      <c r="T16" t="s">
        <v>41</v>
      </c>
      <c r="U16" t="s">
        <v>19</v>
      </c>
      <c r="W16" t="s">
        <v>25</v>
      </c>
      <c r="AG16" t="s">
        <v>25</v>
      </c>
      <c r="AI16" t="s">
        <v>39</v>
      </c>
      <c r="AJ16" t="s">
        <v>48</v>
      </c>
      <c r="AN16" t="s">
        <v>6</v>
      </c>
      <c r="AP16" t="s">
        <v>24</v>
      </c>
      <c r="AT16" t="s">
        <v>9</v>
      </c>
    </row>
    <row r="17" spans="1:46" ht="15" customHeight="1" x14ac:dyDescent="0.25">
      <c r="A17" t="s">
        <v>34</v>
      </c>
      <c r="D17" t="s">
        <v>35</v>
      </c>
      <c r="E17" t="s">
        <v>27</v>
      </c>
      <c r="G17" t="s">
        <v>16</v>
      </c>
      <c r="H17" t="s">
        <v>15</v>
      </c>
      <c r="J17" t="s">
        <v>27</v>
      </c>
      <c r="L17" t="s">
        <v>3</v>
      </c>
      <c r="M17" t="s">
        <v>15</v>
      </c>
      <c r="N17" t="s">
        <v>6</v>
      </c>
      <c r="P17" t="s">
        <v>31</v>
      </c>
      <c r="Q17" t="s">
        <v>5</v>
      </c>
      <c r="T17" t="s">
        <v>43</v>
      </c>
      <c r="U17" t="s">
        <v>20</v>
      </c>
      <c r="W17" t="s">
        <v>27</v>
      </c>
      <c r="AG17" t="s">
        <v>20</v>
      </c>
      <c r="AI17" t="s">
        <v>33</v>
      </c>
      <c r="AJ17" t="s">
        <v>43</v>
      </c>
      <c r="AN17" t="s">
        <v>20</v>
      </c>
      <c r="AP17" t="s">
        <v>35</v>
      </c>
      <c r="AT17" t="s">
        <v>52</v>
      </c>
    </row>
    <row r="18" spans="1:46" ht="15" customHeight="1" x14ac:dyDescent="0.25">
      <c r="A18" t="s">
        <v>26</v>
      </c>
      <c r="D18" t="s">
        <v>42</v>
      </c>
      <c r="E18" t="s">
        <v>18</v>
      </c>
      <c r="G18" t="s">
        <v>22</v>
      </c>
      <c r="H18" t="s">
        <v>28</v>
      </c>
      <c r="J18" t="s">
        <v>17</v>
      </c>
      <c r="L18" t="s">
        <v>21</v>
      </c>
      <c r="M18" t="s">
        <v>12</v>
      </c>
      <c r="N18" t="s">
        <v>53</v>
      </c>
      <c r="P18" t="s">
        <v>10</v>
      </c>
      <c r="Q18" t="s">
        <v>28</v>
      </c>
      <c r="T18" t="s">
        <v>50</v>
      </c>
      <c r="U18" t="s">
        <v>17</v>
      </c>
      <c r="W18" t="s">
        <v>22</v>
      </c>
      <c r="AG18" t="s">
        <v>23</v>
      </c>
      <c r="AI18" t="s">
        <v>32</v>
      </c>
      <c r="AJ18" t="s">
        <v>40</v>
      </c>
      <c r="AN18" t="s">
        <v>17</v>
      </c>
      <c r="AP18" t="s">
        <v>21</v>
      </c>
      <c r="AT18" t="s">
        <v>11</v>
      </c>
    </row>
    <row r="19" spans="1:46" ht="15" customHeight="1" x14ac:dyDescent="0.25">
      <c r="A19" t="s">
        <v>40</v>
      </c>
      <c r="D19" t="s">
        <v>46</v>
      </c>
      <c r="E19" t="s">
        <v>8</v>
      </c>
      <c r="G19" t="s">
        <v>30</v>
      </c>
      <c r="H19" t="s">
        <v>8</v>
      </c>
      <c r="J19" t="s">
        <v>37</v>
      </c>
      <c r="L19" t="s">
        <v>12</v>
      </c>
      <c r="M19" t="s">
        <v>7</v>
      </c>
      <c r="N19" t="s">
        <v>38</v>
      </c>
      <c r="P19" t="s">
        <v>26</v>
      </c>
      <c r="Q19" t="s">
        <v>7</v>
      </c>
      <c r="T19" t="s">
        <v>44</v>
      </c>
      <c r="U19" t="s">
        <v>23</v>
      </c>
      <c r="W19" t="s">
        <v>26</v>
      </c>
      <c r="AG19" t="s">
        <v>22</v>
      </c>
      <c r="AI19" t="s">
        <v>45</v>
      </c>
      <c r="AJ19" t="s">
        <v>44</v>
      </c>
      <c r="AN19" t="s">
        <v>14</v>
      </c>
      <c r="AP19" t="s">
        <v>40</v>
      </c>
      <c r="AT19" t="s">
        <v>42</v>
      </c>
    </row>
    <row r="20" spans="1:46" ht="15" customHeight="1" x14ac:dyDescent="0.25">
      <c r="A20" t="s">
        <v>41</v>
      </c>
      <c r="D20" t="s">
        <v>34</v>
      </c>
      <c r="E20" t="s">
        <v>25</v>
      </c>
      <c r="G20" t="s">
        <v>5</v>
      </c>
      <c r="H20" t="s">
        <v>24</v>
      </c>
      <c r="J20" t="s">
        <v>3</v>
      </c>
      <c r="N20" t="s">
        <v>48</v>
      </c>
      <c r="P20" t="s">
        <v>39</v>
      </c>
      <c r="Q20" t="s">
        <v>49</v>
      </c>
      <c r="T20" t="s">
        <v>34</v>
      </c>
      <c r="U20" t="s">
        <v>3</v>
      </c>
      <c r="AG20" t="s">
        <v>35</v>
      </c>
      <c r="AI20" t="s">
        <v>13</v>
      </c>
      <c r="AJ20" t="s">
        <v>41</v>
      </c>
      <c r="AN20" t="s">
        <v>27</v>
      </c>
      <c r="AP20" t="s">
        <v>16</v>
      </c>
      <c r="AT20" t="s">
        <v>41</v>
      </c>
    </row>
    <row r="21" spans="1:46" ht="15" customHeight="1" x14ac:dyDescent="0.25">
      <c r="A21" t="s">
        <v>27</v>
      </c>
      <c r="D21" t="s">
        <v>24</v>
      </c>
      <c r="E21" t="s">
        <v>16</v>
      </c>
      <c r="G21" t="s">
        <v>34</v>
      </c>
      <c r="H21" t="s">
        <v>20</v>
      </c>
      <c r="J21" t="s">
        <v>6</v>
      </c>
      <c r="N21" t="s">
        <v>43</v>
      </c>
      <c r="P21" t="s">
        <v>15</v>
      </c>
      <c r="Q21" t="s">
        <v>27</v>
      </c>
      <c r="T21" t="s">
        <v>20</v>
      </c>
      <c r="U21" t="s">
        <v>47</v>
      </c>
      <c r="AG21" t="s">
        <v>52</v>
      </c>
      <c r="AI21" t="s">
        <v>20</v>
      </c>
      <c r="AJ21" t="s">
        <v>51</v>
      </c>
      <c r="AN21" t="s">
        <v>34</v>
      </c>
      <c r="AP21" t="s">
        <v>36</v>
      </c>
      <c r="AT21" t="s">
        <v>36</v>
      </c>
    </row>
    <row r="22" spans="1:46" ht="15" customHeight="1" x14ac:dyDescent="0.25">
      <c r="A22" t="s">
        <v>28</v>
      </c>
      <c r="D22" t="s">
        <v>23</v>
      </c>
      <c r="E22" t="s">
        <v>22</v>
      </c>
      <c r="G22" t="s">
        <v>10</v>
      </c>
      <c r="H22" t="s">
        <v>29</v>
      </c>
      <c r="J22" t="s">
        <v>26</v>
      </c>
      <c r="N22" t="s">
        <v>50</v>
      </c>
      <c r="P22" t="s">
        <v>40</v>
      </c>
      <c r="Q22" t="s">
        <v>37</v>
      </c>
      <c r="T22" t="s">
        <v>29</v>
      </c>
      <c r="U22" t="s">
        <v>8</v>
      </c>
      <c r="AG22" t="s">
        <v>42</v>
      </c>
      <c r="AI22" t="s">
        <v>29</v>
      </c>
      <c r="AJ22" t="s">
        <v>58</v>
      </c>
      <c r="AN22" t="s">
        <v>37</v>
      </c>
      <c r="AP22" t="s">
        <v>50</v>
      </c>
      <c r="AT22" t="s">
        <v>57</v>
      </c>
    </row>
    <row r="23" spans="1:46" ht="15" customHeight="1" x14ac:dyDescent="0.25">
      <c r="A23" t="s">
        <v>42</v>
      </c>
      <c r="D23" t="s">
        <v>30</v>
      </c>
      <c r="E23" t="s">
        <v>28</v>
      </c>
      <c r="G23" t="s">
        <v>21</v>
      </c>
      <c r="H23" t="s">
        <v>30</v>
      </c>
      <c r="J23" t="s">
        <v>30</v>
      </c>
      <c r="N23" t="s">
        <v>44</v>
      </c>
      <c r="P23" t="s">
        <v>54</v>
      </c>
      <c r="Q23" t="s">
        <v>30</v>
      </c>
      <c r="T23" t="s">
        <v>21</v>
      </c>
      <c r="U23" t="s">
        <v>12</v>
      </c>
      <c r="AG23" t="s">
        <v>45</v>
      </c>
      <c r="AI23" t="s">
        <v>11</v>
      </c>
      <c r="AJ23" t="s">
        <v>42</v>
      </c>
      <c r="AN23" t="s">
        <v>26</v>
      </c>
      <c r="AP23" t="s">
        <v>46</v>
      </c>
      <c r="AT23" t="s">
        <v>40</v>
      </c>
    </row>
    <row r="24" spans="1:46" ht="15" customHeight="1" x14ac:dyDescent="0.25">
      <c r="D24" t="s">
        <v>4</v>
      </c>
      <c r="H24" t="s">
        <v>25</v>
      </c>
      <c r="J24" t="s">
        <v>24</v>
      </c>
      <c r="P24" t="s">
        <v>25</v>
      </c>
      <c r="Q24" t="s">
        <v>43</v>
      </c>
      <c r="T24" t="s">
        <v>9</v>
      </c>
      <c r="AG24" t="s">
        <v>47</v>
      </c>
      <c r="AJ24" t="s">
        <v>15</v>
      </c>
    </row>
    <row r="25" spans="1:46" ht="15" customHeight="1" x14ac:dyDescent="0.25">
      <c r="D25" t="s">
        <v>47</v>
      </c>
      <c r="H25" t="s">
        <v>47</v>
      </c>
      <c r="J25" t="s">
        <v>36</v>
      </c>
      <c r="P25" t="s">
        <v>6</v>
      </c>
      <c r="Q25" t="s">
        <v>56</v>
      </c>
      <c r="T25" t="s">
        <v>16</v>
      </c>
      <c r="AG25" t="s">
        <v>16</v>
      </c>
      <c r="AJ25" t="s">
        <v>19</v>
      </c>
    </row>
    <row r="26" spans="1:46" ht="15" customHeight="1" x14ac:dyDescent="0.25">
      <c r="D26" t="s">
        <v>12</v>
      </c>
      <c r="H26" t="s">
        <v>22</v>
      </c>
      <c r="J26" t="s">
        <v>29</v>
      </c>
      <c r="P26" t="s">
        <v>28</v>
      </c>
      <c r="Q26" t="s">
        <v>40</v>
      </c>
      <c r="T26" t="s">
        <v>23</v>
      </c>
      <c r="AG26" t="s">
        <v>37</v>
      </c>
      <c r="AJ26" t="s">
        <v>23</v>
      </c>
    </row>
    <row r="27" spans="1:46" ht="15" customHeight="1" x14ac:dyDescent="0.25">
      <c r="D27" t="s">
        <v>40</v>
      </c>
      <c r="H27" t="s">
        <v>26</v>
      </c>
      <c r="J27" t="s">
        <v>45</v>
      </c>
      <c r="P27" t="s">
        <v>11</v>
      </c>
      <c r="Q27" t="s">
        <v>38</v>
      </c>
      <c r="T27" t="s">
        <v>11</v>
      </c>
      <c r="AG27" t="s">
        <v>28</v>
      </c>
      <c r="AJ27" t="s">
        <v>21</v>
      </c>
    </row>
    <row r="28" spans="1:46" ht="15" customHeight="1" x14ac:dyDescent="0.25"/>
    <row r="29" spans="1:46" ht="15" customHeight="1" x14ac:dyDescent="0.25"/>
    <row r="30" spans="1:46" ht="15" customHeight="1" x14ac:dyDescent="0.25"/>
    <row r="31" spans="1:46" ht="15" customHeight="1" x14ac:dyDescent="0.25"/>
    <row r="32" spans="1:4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T14"/>
  <sheetViews>
    <sheetView topLeftCell="Q1" zoomScale="96" zoomScaleNormal="96" workbookViewId="0">
      <selection activeCell="T7" sqref="T7"/>
    </sheetView>
  </sheetViews>
  <sheetFormatPr defaultRowHeight="14.45" customHeight="1" x14ac:dyDescent="0.25"/>
  <cols>
    <col min="1" max="1" width="72.140625" customWidth="1"/>
    <col min="2" max="2" width="58.28515625" customWidth="1"/>
    <col min="3" max="3" width="62.5703125" customWidth="1"/>
    <col min="4" max="4" width="79.42578125" customWidth="1"/>
    <col min="5" max="5" width="74" customWidth="1"/>
    <col min="6" max="6" width="71.140625" customWidth="1"/>
    <col min="7" max="7" width="70.7109375" customWidth="1"/>
    <col min="8" max="8" width="60.140625" customWidth="1"/>
    <col min="9" max="9" width="73" customWidth="1"/>
    <col min="10" max="10" width="58.28515625" customWidth="1"/>
    <col min="11" max="11" width="57.42578125" customWidth="1"/>
    <col min="12" max="12" width="59.7109375" customWidth="1"/>
    <col min="13" max="13" width="73.85546875" customWidth="1"/>
    <col min="14" max="14" width="64.85546875" customWidth="1"/>
    <col min="15" max="15" width="70.28515625" customWidth="1"/>
    <col min="16" max="16" width="66.140625" customWidth="1"/>
    <col min="17" max="17" width="41.5703125" customWidth="1"/>
    <col min="18" max="18" width="31.140625" customWidth="1"/>
    <col min="19" max="19" width="62.42578125" customWidth="1"/>
    <col min="21" max="21" width="14.5703125" customWidth="1"/>
    <col min="22" max="22" width="48.42578125" customWidth="1"/>
    <col min="23" max="23" width="44" customWidth="1"/>
    <col min="24" max="24" width="69.42578125" customWidth="1"/>
    <col min="25" max="25" width="68.85546875" customWidth="1"/>
    <col min="26" max="26" width="44.140625" customWidth="1"/>
    <col min="27" max="27" width="64.28515625" customWidth="1"/>
    <col min="28" max="28" width="46.85546875" customWidth="1"/>
    <col min="29" max="29" width="53.140625" customWidth="1"/>
    <col min="30" max="30" width="57.42578125" customWidth="1"/>
    <col min="31" max="31" width="55.140625" customWidth="1"/>
    <col min="32" max="32" width="60.85546875" customWidth="1"/>
    <col min="33" max="33" width="48.140625" customWidth="1"/>
    <col min="34" max="34" width="54.5703125" customWidth="1"/>
    <col min="35" max="35" width="80" customWidth="1"/>
    <col min="36" max="36" width="79.28515625" customWidth="1"/>
    <col min="37" max="37" width="71.85546875" customWidth="1"/>
    <col min="38" max="38" width="62.7109375" customWidth="1"/>
    <col min="39" max="39" width="53.28515625" customWidth="1"/>
    <col min="40" max="40" width="63.5703125" customWidth="1"/>
    <col min="41" max="42" width="70.5703125" customWidth="1"/>
    <col min="43" max="43" width="60.7109375" customWidth="1"/>
    <col min="44" max="44" width="54.42578125" customWidth="1"/>
    <col min="45" max="45" width="85.140625" customWidth="1"/>
    <col min="46" max="46" width="52.5703125" customWidth="1"/>
    <col min="47" max="47" width="18.42578125" customWidth="1"/>
    <col min="48" max="48" width="66.42578125" customWidth="1"/>
    <col min="49" max="49" width="48.85546875" customWidth="1"/>
    <col min="50" max="50" width="27.7109375" customWidth="1"/>
    <col min="51" max="51" width="51.85546875" customWidth="1"/>
    <col min="52" max="52" width="67.7109375" customWidth="1"/>
    <col min="53" max="53" width="13.7109375" customWidth="1"/>
    <col min="54" max="54" width="51.7109375" customWidth="1"/>
    <col min="55" max="55" width="23.42578125" customWidth="1"/>
    <col min="56" max="56" width="46.42578125" customWidth="1"/>
    <col min="57" max="57" width="58.140625" customWidth="1"/>
    <col min="58" max="58" width="57.42578125" customWidth="1"/>
    <col min="59" max="59" width="49.140625" customWidth="1"/>
    <col min="60" max="60" width="25.5703125" customWidth="1"/>
    <col min="61" max="61" width="12.7109375" customWidth="1"/>
    <col min="62" max="62" width="47.85546875" customWidth="1"/>
    <col min="63" max="63" width="65" customWidth="1"/>
    <col min="64" max="64" width="53.7109375" customWidth="1"/>
    <col min="65" max="65" width="73.85546875" customWidth="1"/>
    <col min="66" max="66" width="67.140625" customWidth="1"/>
    <col min="67" max="67" width="57.85546875" customWidth="1"/>
    <col min="68" max="68" width="77.140625" customWidth="1"/>
    <col min="69" max="69" width="55.5703125" customWidth="1"/>
    <col min="70" max="70" width="69.5703125" customWidth="1"/>
    <col min="71" max="71" width="85.85546875" customWidth="1"/>
    <col min="72" max="72" width="61" customWidth="1"/>
    <col min="73" max="73" width="55.7109375" customWidth="1"/>
    <col min="74" max="74" width="70.7109375" customWidth="1"/>
    <col min="76" max="76" width="9.28515625" customWidth="1"/>
    <col min="77" max="77" width="66.140625" customWidth="1"/>
    <col min="78" max="78" width="56.28515625" customWidth="1"/>
    <col min="79" max="79" width="41.28515625" customWidth="1"/>
    <col min="80" max="80" width="75.7109375" customWidth="1"/>
    <col min="81" max="81" width="65.7109375" customWidth="1"/>
    <col min="82" max="82" width="52.28515625" customWidth="1"/>
    <col min="83" max="83" width="49.7109375" customWidth="1"/>
    <col min="89" max="89" width="44.42578125" customWidth="1"/>
    <col min="90" max="90" width="54.28515625" customWidth="1"/>
    <col min="101" max="101" width="66.85546875" customWidth="1"/>
    <col min="104" max="104" width="57.5703125" customWidth="1"/>
  </cols>
  <sheetData>
    <row r="3" spans="1:46" ht="15" customHeight="1" x14ac:dyDescent="0.25">
      <c r="A3" t="s">
        <v>65</v>
      </c>
      <c r="B3" t="s">
        <v>66</v>
      </c>
      <c r="C3" t="s">
        <v>60</v>
      </c>
      <c r="D3" t="s">
        <v>61</v>
      </c>
      <c r="E3" t="s">
        <v>69</v>
      </c>
      <c r="F3" t="s">
        <v>77</v>
      </c>
      <c r="G3" t="s">
        <v>62</v>
      </c>
      <c r="H3" t="s">
        <v>70</v>
      </c>
      <c r="I3" t="s">
        <v>86</v>
      </c>
      <c r="J3" t="s">
        <v>67</v>
      </c>
      <c r="K3" t="s">
        <v>76</v>
      </c>
      <c r="L3" t="s">
        <v>78</v>
      </c>
      <c r="M3" t="s">
        <v>63</v>
      </c>
      <c r="N3" t="s">
        <v>64</v>
      </c>
      <c r="O3" t="s">
        <v>87</v>
      </c>
      <c r="P3" t="s">
        <v>68</v>
      </c>
      <c r="Q3" t="s">
        <v>71</v>
      </c>
      <c r="R3" t="s">
        <v>93</v>
      </c>
      <c r="S3" t="s">
        <v>85</v>
      </c>
      <c r="T3" t="s">
        <v>84</v>
      </c>
      <c r="U3" t="s">
        <v>72</v>
      </c>
      <c r="V3" t="s">
        <v>73</v>
      </c>
      <c r="W3" t="s">
        <v>88</v>
      </c>
      <c r="X3" t="s">
        <v>98</v>
      </c>
      <c r="Y3" t="s">
        <v>97</v>
      </c>
      <c r="Z3" t="s">
        <v>96</v>
      </c>
      <c r="AA3" t="s">
        <v>89</v>
      </c>
      <c r="AB3" t="s">
        <v>99</v>
      </c>
      <c r="AC3" t="s">
        <v>101</v>
      </c>
      <c r="AD3" t="s">
        <v>81</v>
      </c>
      <c r="AE3" t="s">
        <v>92</v>
      </c>
      <c r="AF3" t="s">
        <v>95</v>
      </c>
      <c r="AG3" t="s">
        <v>90</v>
      </c>
      <c r="AH3" t="s">
        <v>79</v>
      </c>
      <c r="AI3" t="s">
        <v>75</v>
      </c>
      <c r="AJ3" t="s">
        <v>82</v>
      </c>
      <c r="AK3" t="s">
        <v>105</v>
      </c>
      <c r="AL3" t="s">
        <v>80</v>
      </c>
      <c r="AM3" t="s">
        <v>104</v>
      </c>
      <c r="AN3" t="s">
        <v>83</v>
      </c>
      <c r="AO3" t="s">
        <v>102</v>
      </c>
      <c r="AP3" t="s">
        <v>94</v>
      </c>
      <c r="AQ3" t="s">
        <v>103</v>
      </c>
      <c r="AR3" t="s">
        <v>100</v>
      </c>
      <c r="AS3" t="s">
        <v>74</v>
      </c>
      <c r="AT3" t="s">
        <v>91</v>
      </c>
    </row>
    <row r="4" spans="1:46" ht="15" customHeight="1" x14ac:dyDescent="0.25">
      <c r="A4" t="s">
        <v>106</v>
      </c>
      <c r="B4" t="s">
        <v>107</v>
      </c>
      <c r="C4" t="s">
        <v>108</v>
      </c>
      <c r="D4" t="s">
        <v>109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117</v>
      </c>
      <c r="M4" t="s">
        <v>118</v>
      </c>
      <c r="N4" t="s">
        <v>119</v>
      </c>
      <c r="O4" t="s">
        <v>120</v>
      </c>
      <c r="P4" t="s">
        <v>121</v>
      </c>
      <c r="Q4" t="s">
        <v>122</v>
      </c>
      <c r="R4" t="s">
        <v>123</v>
      </c>
      <c r="S4" t="s">
        <v>124</v>
      </c>
      <c r="T4" t="s">
        <v>125</v>
      </c>
      <c r="U4" t="s">
        <v>126</v>
      </c>
      <c r="V4" t="s">
        <v>127</v>
      </c>
      <c r="W4" t="s">
        <v>128</v>
      </c>
      <c r="X4" t="s">
        <v>129</v>
      </c>
      <c r="Y4" t="s">
        <v>130</v>
      </c>
      <c r="Z4" t="s">
        <v>131</v>
      </c>
      <c r="AA4" t="s">
        <v>132</v>
      </c>
      <c r="AB4" t="s">
        <v>133</v>
      </c>
      <c r="AC4" t="s">
        <v>134</v>
      </c>
      <c r="AD4" t="s">
        <v>135</v>
      </c>
      <c r="AE4" t="s">
        <v>112</v>
      </c>
      <c r="AF4" t="s">
        <v>136</v>
      </c>
      <c r="AG4" t="s">
        <v>137</v>
      </c>
      <c r="AH4" t="s">
        <v>138</v>
      </c>
      <c r="AI4" t="s">
        <v>139</v>
      </c>
      <c r="AJ4" t="s">
        <v>140</v>
      </c>
      <c r="AK4" t="s">
        <v>141</v>
      </c>
      <c r="AL4" t="s">
        <v>142</v>
      </c>
      <c r="AM4" t="s">
        <v>143</v>
      </c>
      <c r="AN4" t="s">
        <v>144</v>
      </c>
      <c r="AO4" t="s">
        <v>145</v>
      </c>
      <c r="AP4" t="s">
        <v>146</v>
      </c>
      <c r="AQ4" t="s">
        <v>147</v>
      </c>
      <c r="AR4" t="s">
        <v>148</v>
      </c>
      <c r="AS4" t="s">
        <v>149</v>
      </c>
      <c r="AT4" t="s">
        <v>150</v>
      </c>
    </row>
    <row r="5" spans="1:46" ht="15" customHeight="1" x14ac:dyDescent="0.25">
      <c r="A5" t="s">
        <v>151</v>
      </c>
      <c r="D5" t="s">
        <v>152</v>
      </c>
      <c r="E5" t="s">
        <v>153</v>
      </c>
      <c r="G5" t="s">
        <v>154</v>
      </c>
      <c r="H5" t="s">
        <v>155</v>
      </c>
      <c r="I5" t="s">
        <v>156</v>
      </c>
      <c r="J5" t="s">
        <v>157</v>
      </c>
      <c r="K5" t="s">
        <v>158</v>
      </c>
      <c r="L5" t="s">
        <v>159</v>
      </c>
      <c r="M5" t="s">
        <v>160</v>
      </c>
      <c r="N5" t="s">
        <v>183</v>
      </c>
      <c r="P5" t="s">
        <v>161</v>
      </c>
      <c r="Q5" t="s">
        <v>123</v>
      </c>
      <c r="T5" t="s">
        <v>162</v>
      </c>
      <c r="U5" t="s">
        <v>163</v>
      </c>
      <c r="V5" t="s">
        <v>164</v>
      </c>
      <c r="W5" t="s">
        <v>165</v>
      </c>
      <c r="AA5" t="s">
        <v>166</v>
      </c>
      <c r="AE5" t="s">
        <v>167</v>
      </c>
      <c r="AG5" t="s">
        <v>168</v>
      </c>
      <c r="AI5" t="s">
        <v>169</v>
      </c>
      <c r="AJ5" t="s">
        <v>170</v>
      </c>
      <c r="AN5" t="s">
        <v>171</v>
      </c>
      <c r="AP5" t="s">
        <v>172</v>
      </c>
      <c r="AS5" t="s">
        <v>173</v>
      </c>
      <c r="AT5" t="s">
        <v>174</v>
      </c>
    </row>
    <row r="6" spans="1:46" ht="15" customHeight="1" x14ac:dyDescent="0.25">
      <c r="A6" t="s">
        <v>175</v>
      </c>
      <c r="D6" t="s">
        <v>176</v>
      </c>
      <c r="E6" t="s">
        <v>177</v>
      </c>
      <c r="G6" t="s">
        <v>178</v>
      </c>
      <c r="H6" t="s">
        <v>179</v>
      </c>
      <c r="J6" t="s">
        <v>180</v>
      </c>
      <c r="L6" t="s">
        <v>181</v>
      </c>
      <c r="M6" t="s">
        <v>182</v>
      </c>
      <c r="N6" t="s">
        <v>220</v>
      </c>
      <c r="P6" t="s">
        <v>184</v>
      </c>
      <c r="Q6" t="s">
        <v>185</v>
      </c>
      <c r="T6" t="s">
        <v>186</v>
      </c>
      <c r="U6" t="s">
        <v>187</v>
      </c>
      <c r="W6" t="s">
        <v>188</v>
      </c>
      <c r="AA6" t="s">
        <v>189</v>
      </c>
      <c r="AE6" t="s">
        <v>190</v>
      </c>
      <c r="AG6" t="s">
        <v>191</v>
      </c>
      <c r="AI6" t="s">
        <v>192</v>
      </c>
      <c r="AJ6" t="s">
        <v>193</v>
      </c>
      <c r="AN6" t="s">
        <v>194</v>
      </c>
      <c r="AP6" t="s">
        <v>195</v>
      </c>
      <c r="AS6" t="s">
        <v>196</v>
      </c>
      <c r="AT6" t="s">
        <v>197</v>
      </c>
    </row>
    <row r="7" spans="1:46" ht="15" customHeight="1" x14ac:dyDescent="0.25">
      <c r="A7" t="s">
        <v>198</v>
      </c>
      <c r="D7" t="s">
        <v>199</v>
      </c>
      <c r="E7" t="s">
        <v>200</v>
      </c>
      <c r="G7" t="s">
        <v>201</v>
      </c>
      <c r="H7" t="s">
        <v>202</v>
      </c>
      <c r="J7" t="s">
        <v>203</v>
      </c>
      <c r="L7" t="s">
        <v>204</v>
      </c>
      <c r="M7" t="s">
        <v>205</v>
      </c>
      <c r="N7" t="s">
        <v>234</v>
      </c>
      <c r="P7" t="s">
        <v>206</v>
      </c>
      <c r="Q7" t="s">
        <v>207</v>
      </c>
      <c r="T7" t="s">
        <v>223</v>
      </c>
      <c r="U7" t="s">
        <v>208</v>
      </c>
      <c r="W7" t="s">
        <v>224</v>
      </c>
      <c r="AG7" t="s">
        <v>209</v>
      </c>
      <c r="AI7" t="s">
        <v>210</v>
      </c>
      <c r="AJ7" t="s">
        <v>141</v>
      </c>
      <c r="AN7" t="s">
        <v>211</v>
      </c>
      <c r="AP7" t="s">
        <v>212</v>
      </c>
      <c r="AT7" t="s">
        <v>213</v>
      </c>
    </row>
    <row r="8" spans="1:46" ht="15" customHeight="1" x14ac:dyDescent="0.25">
      <c r="A8" t="s">
        <v>214</v>
      </c>
      <c r="D8" t="s">
        <v>215</v>
      </c>
      <c r="E8" t="s">
        <v>216</v>
      </c>
      <c r="G8" t="s">
        <v>217</v>
      </c>
      <c r="H8" t="s">
        <v>218</v>
      </c>
      <c r="J8" t="s">
        <v>219</v>
      </c>
      <c r="N8" t="s">
        <v>240</v>
      </c>
      <c r="P8" t="s">
        <v>221</v>
      </c>
      <c r="Q8" t="s">
        <v>222</v>
      </c>
      <c r="T8" t="s">
        <v>237</v>
      </c>
      <c r="U8" t="s">
        <v>238</v>
      </c>
      <c r="AG8" t="s">
        <v>225</v>
      </c>
      <c r="AI8" t="s">
        <v>226</v>
      </c>
      <c r="AJ8" t="s">
        <v>227</v>
      </c>
      <c r="AN8" t="s">
        <v>228</v>
      </c>
      <c r="AP8" t="s">
        <v>229</v>
      </c>
      <c r="AT8" t="s">
        <v>230</v>
      </c>
    </row>
    <row r="9" spans="1:46" ht="15" customHeight="1" x14ac:dyDescent="0.25">
      <c r="D9" t="s">
        <v>231</v>
      </c>
      <c r="H9" t="s">
        <v>232</v>
      </c>
      <c r="J9" t="s">
        <v>233</v>
      </c>
      <c r="P9" t="s">
        <v>235</v>
      </c>
      <c r="Q9" t="s">
        <v>236</v>
      </c>
      <c r="T9" t="s">
        <v>241</v>
      </c>
      <c r="AG9" t="s">
        <v>242</v>
      </c>
      <c r="AJ9" t="s">
        <v>239</v>
      </c>
    </row>
    <row r="10" spans="1:46" ht="15" customHeight="1" x14ac:dyDescent="0.25"/>
    <row r="11" spans="1:46" ht="15" customHeight="1" x14ac:dyDescent="0.25"/>
    <row r="12" spans="1:46" ht="15" customHeight="1" x14ac:dyDescent="0.25"/>
    <row r="13" spans="1:46" ht="15" customHeight="1" x14ac:dyDescent="0.25"/>
    <row r="14" spans="1:46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8"/>
  <sheetViews>
    <sheetView zoomScaleNormal="100" workbookViewId="0">
      <selection activeCell="F16" sqref="F16"/>
    </sheetView>
  </sheetViews>
  <sheetFormatPr defaultRowHeight="15" x14ac:dyDescent="0.25"/>
  <cols>
    <col min="1" max="1" width="13.85546875" customWidth="1"/>
    <col min="3" max="3" width="10.42578125" customWidth="1"/>
    <col min="5" max="5" width="12.140625" customWidth="1"/>
    <col min="6" max="6" width="10.5703125" customWidth="1"/>
    <col min="7" max="7" width="20.7109375" customWidth="1"/>
    <col min="8" max="8" width="10.5703125" customWidth="1"/>
    <col min="9" max="9" width="20.7109375" customWidth="1"/>
    <col min="10" max="10" width="18" customWidth="1"/>
    <col min="11" max="11" width="11.42578125" customWidth="1"/>
    <col min="12" max="12" width="20.7109375" customWidth="1"/>
    <col min="13" max="13" width="11" customWidth="1"/>
    <col min="17" max="17" width="12.85546875" customWidth="1"/>
    <col min="18" max="18" width="11.5703125" customWidth="1"/>
    <col min="19" max="19" width="10.140625" customWidth="1"/>
  </cols>
  <sheetData>
    <row r="1" spans="1:12" x14ac:dyDescent="0.25">
      <c r="A1" s="64" t="s">
        <v>243</v>
      </c>
      <c r="B1" s="65"/>
      <c r="C1" s="4">
        <f>COUNTIF(AHL_DAT_STRING!4:18,"&lt;&gt;")</f>
        <v>140</v>
      </c>
    </row>
    <row r="2" spans="1:12" ht="15.75" customHeight="1" x14ac:dyDescent="0.25">
      <c r="A2" s="66" t="s">
        <v>244</v>
      </c>
      <c r="B2" s="67"/>
      <c r="C2" s="5">
        <f>C1*4</f>
        <v>560</v>
      </c>
    </row>
    <row r="3" spans="1:12" x14ac:dyDescent="0.25">
      <c r="A3" s="6" t="s">
        <v>244</v>
      </c>
      <c r="B3" s="7">
        <f>COUNTIF(AHL!4:50, "&lt;&gt;")</f>
        <v>560</v>
      </c>
      <c r="E3" s="68" t="s">
        <v>245</v>
      </c>
      <c r="F3" s="67"/>
      <c r="G3" s="67"/>
      <c r="H3" s="67"/>
    </row>
    <row r="4" spans="1:12" ht="15.75" customHeight="1" x14ac:dyDescent="0.25">
      <c r="A4" s="8" t="s">
        <v>246</v>
      </c>
      <c r="B4" s="9">
        <f>SUMIF(AHL!2:2,"sl",AHL!1:1)</f>
        <v>103</v>
      </c>
      <c r="C4">
        <f>AHL!AH1</f>
        <v>10</v>
      </c>
      <c r="E4" t="s">
        <v>247</v>
      </c>
      <c r="F4" t="s">
        <v>248</v>
      </c>
      <c r="G4" t="s">
        <v>249</v>
      </c>
      <c r="H4" t="s">
        <v>250</v>
      </c>
      <c r="I4" t="s">
        <v>251</v>
      </c>
      <c r="J4" t="s">
        <v>252</v>
      </c>
      <c r="K4" t="s">
        <v>253</v>
      </c>
      <c r="L4" t="s">
        <v>254</v>
      </c>
    </row>
    <row r="5" spans="1:12" ht="15.75" customHeight="1" x14ac:dyDescent="0.25">
      <c r="A5" s="8" t="s">
        <v>255</v>
      </c>
      <c r="B5" s="9">
        <f>SUMIF(AHL!2:2,"hr",AHL!1:1)</f>
        <v>0</v>
      </c>
      <c r="E5" s="10" t="s">
        <v>246</v>
      </c>
      <c r="F5" s="11">
        <v>1</v>
      </c>
      <c r="G5" s="12">
        <f>F5/13</f>
        <v>7.6923076923076927E-2</v>
      </c>
      <c r="H5" s="13">
        <f>B4/B3</f>
        <v>0.18392857142857144</v>
      </c>
      <c r="I5" s="14">
        <f>C2*G5</f>
        <v>43.07692307692308</v>
      </c>
      <c r="J5" s="15">
        <f>B4</f>
        <v>103</v>
      </c>
      <c r="K5" s="16">
        <f>J5-I5</f>
        <v>59.92307692307692</v>
      </c>
      <c r="L5" s="17">
        <f>K5/4</f>
        <v>14.98076923076923</v>
      </c>
    </row>
    <row r="6" spans="1:12" ht="15.75" customHeight="1" x14ac:dyDescent="0.25">
      <c r="A6" s="8" t="s">
        <v>1</v>
      </c>
      <c r="B6" s="9">
        <f>SUMIF(AHL!2:2,"it",AHL!1:1)</f>
        <v>221</v>
      </c>
      <c r="C6">
        <f>AHL!AB1</f>
        <v>11</v>
      </c>
      <c r="E6" s="18" t="s">
        <v>255</v>
      </c>
      <c r="F6" s="19">
        <v>1</v>
      </c>
      <c r="G6" s="20">
        <f>F6/13</f>
        <v>7.6923076923076927E-2</v>
      </c>
      <c r="H6" s="13">
        <f>B5/B3</f>
        <v>0</v>
      </c>
      <c r="I6" s="21">
        <f>C2*G6</f>
        <v>43.07692307692308</v>
      </c>
      <c r="J6" s="15">
        <f>B5</f>
        <v>0</v>
      </c>
      <c r="K6" s="22">
        <f>J6-I6</f>
        <v>-43.07692307692308</v>
      </c>
      <c r="L6" s="17">
        <f t="shared" ref="L6" si="0">K6/4</f>
        <v>-10.76923076923077</v>
      </c>
    </row>
    <row r="7" spans="1:12" ht="15.75" customHeight="1" x14ac:dyDescent="0.25">
      <c r="A7" s="23" t="s">
        <v>2</v>
      </c>
      <c r="B7" s="24">
        <f>SUMIF(AHL!2:2,"au",AHL!1:1)</f>
        <v>236</v>
      </c>
      <c r="C7">
        <f>SUM(AHL!AV1,AHL!BA1,AHL!L1,AHL!AF1,AHL!BF1,AHL!BG1,AHL!BH1,AHL!BE1)</f>
        <v>32</v>
      </c>
      <c r="E7" s="25" t="s">
        <v>256</v>
      </c>
      <c r="F7" s="26">
        <v>2</v>
      </c>
      <c r="G7" s="27">
        <f t="shared" ref="G7:G9" si="1">F7/13</f>
        <v>0.15384615384615385</v>
      </c>
      <c r="H7" s="28">
        <f>(B5+B4)/B3</f>
        <v>0.18392857142857144</v>
      </c>
      <c r="I7" s="29">
        <f>C2*G7</f>
        <v>86.15384615384616</v>
      </c>
      <c r="J7" s="30">
        <f>B4+B5</f>
        <v>103</v>
      </c>
      <c r="K7" s="31">
        <f>J7-I7</f>
        <v>16.84615384615384</v>
      </c>
      <c r="L7" s="32">
        <f>K7/4</f>
        <v>4.2115384615384599</v>
      </c>
    </row>
    <row r="8" spans="1:12" ht="15.75" customHeight="1" x14ac:dyDescent="0.25">
      <c r="A8" s="33" t="s">
        <v>257</v>
      </c>
      <c r="C8">
        <f>SUM(C4:C7)</f>
        <v>53</v>
      </c>
      <c r="E8" s="8" t="s">
        <v>258</v>
      </c>
      <c r="F8" s="34">
        <v>7</v>
      </c>
      <c r="G8" s="35">
        <f t="shared" si="1"/>
        <v>0.53846153846153844</v>
      </c>
      <c r="H8" s="36">
        <f>B6/B3</f>
        <v>0.39464285714285713</v>
      </c>
      <c r="I8" s="37">
        <f>C2*G8</f>
        <v>301.53846153846155</v>
      </c>
      <c r="J8">
        <f>B6</f>
        <v>221</v>
      </c>
      <c r="K8" s="38">
        <f>J8-I8</f>
        <v>-80.538461538461547</v>
      </c>
      <c r="L8" s="39">
        <f>K8/4</f>
        <v>-20.134615384615387</v>
      </c>
    </row>
    <row r="9" spans="1:12" ht="15.75" customHeight="1" x14ac:dyDescent="0.25">
      <c r="A9" t="s">
        <v>259</v>
      </c>
      <c r="B9">
        <f>SUM(B4:B7)</f>
        <v>560</v>
      </c>
      <c r="E9" s="23" t="s">
        <v>260</v>
      </c>
      <c r="F9" s="40">
        <v>4</v>
      </c>
      <c r="G9" s="41">
        <f t="shared" si="1"/>
        <v>0.30769230769230771</v>
      </c>
      <c r="H9" s="36">
        <f>B7/B3</f>
        <v>0.42142857142857143</v>
      </c>
      <c r="I9" s="42">
        <f>C2*G9</f>
        <v>172.30769230769232</v>
      </c>
      <c r="J9" s="43">
        <f>B7</f>
        <v>236</v>
      </c>
      <c r="K9" s="44">
        <f>J9-I9</f>
        <v>63.692307692307679</v>
      </c>
      <c r="L9" s="45">
        <f>K9/4</f>
        <v>15.92307692307692</v>
      </c>
    </row>
    <row r="11" spans="1:12" x14ac:dyDescent="0.25">
      <c r="H11" s="46" t="s">
        <v>261</v>
      </c>
      <c r="I11" s="47">
        <f>SUM(I7:I9)</f>
        <v>560</v>
      </c>
      <c r="J11" s="48">
        <f>SUM(J7:J9)</f>
        <v>560</v>
      </c>
      <c r="K11" s="49">
        <f>SUM(K7:K9)</f>
        <v>0</v>
      </c>
      <c r="L11" s="50">
        <f>SUM(L7:L9)</f>
        <v>0</v>
      </c>
    </row>
    <row r="13" spans="1:12" x14ac:dyDescent="0.25">
      <c r="A13" t="s">
        <v>265</v>
      </c>
      <c r="B13">
        <f>C1/2/6</f>
        <v>11.666666666666666</v>
      </c>
    </row>
    <row r="14" spans="1:12" x14ac:dyDescent="0.25">
      <c r="F14" t="s">
        <v>266</v>
      </c>
      <c r="G14" t="s">
        <v>267</v>
      </c>
    </row>
    <row r="15" spans="1:12" x14ac:dyDescent="0.25">
      <c r="E15" t="s">
        <v>260</v>
      </c>
      <c r="F15">
        <v>10</v>
      </c>
    </row>
    <row r="16" spans="1:12" ht="15.75" customHeight="1" x14ac:dyDescent="0.25">
      <c r="E16" t="s">
        <v>258</v>
      </c>
    </row>
    <row r="17" spans="5:17" x14ac:dyDescent="0.25">
      <c r="E17" t="s">
        <v>256</v>
      </c>
      <c r="F17">
        <v>5</v>
      </c>
    </row>
    <row r="18" spans="5:17" x14ac:dyDescent="0.25">
      <c r="Q18" s="51"/>
    </row>
    <row r="19" spans="5:17" ht="15.75" customHeight="1" x14ac:dyDescent="0.25"/>
    <row r="21" spans="5:17" ht="46.5" customHeight="1" x14ac:dyDescent="0.25"/>
    <row r="22" spans="5:17" ht="15.75" customHeight="1" x14ac:dyDescent="0.25"/>
    <row r="24" spans="5:17" ht="15.75" customHeight="1" x14ac:dyDescent="0.25"/>
    <row r="25" spans="5:17" ht="16.5" customHeight="1" x14ac:dyDescent="0.25"/>
    <row r="28" spans="5:17" ht="15.75" customHeight="1" x14ac:dyDescent="0.25"/>
  </sheetData>
  <mergeCells count="3">
    <mergeCell ref="A1:B1"/>
    <mergeCell ref="A2:B2"/>
    <mergeCell ref="E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zoomScaleNormal="100" workbookViewId="0">
      <selection activeCell="A20" sqref="A20"/>
    </sheetView>
  </sheetViews>
  <sheetFormatPr defaultRowHeight="15" x14ac:dyDescent="0.25"/>
  <cols>
    <col min="1" max="1" width="102.42578125" customWidth="1"/>
  </cols>
  <sheetData>
    <row r="1" spans="1:7" x14ac:dyDescent="0.25">
      <c r="A1" s="3"/>
      <c r="D1" s="67" t="s">
        <v>262</v>
      </c>
      <c r="E1" s="67"/>
      <c r="F1" s="67"/>
      <c r="G1" s="67"/>
    </row>
    <row r="2" spans="1:7" x14ac:dyDescent="0.25">
      <c r="A2" s="52" t="s">
        <v>263</v>
      </c>
    </row>
    <row r="3" spans="1:7" x14ac:dyDescent="0.25">
      <c r="A3" s="52"/>
    </row>
    <row r="4" spans="1:7" x14ac:dyDescent="0.25">
      <c r="A4" s="52"/>
    </row>
    <row r="5" spans="1:7" x14ac:dyDescent="0.25">
      <c r="A5" s="53"/>
    </row>
    <row r="6" spans="1:7" x14ac:dyDescent="0.25">
      <c r="A6" s="53"/>
    </row>
    <row r="7" spans="1:7" x14ac:dyDescent="0.25">
      <c r="A7" s="54" t="s">
        <v>264</v>
      </c>
    </row>
  </sheetData>
  <mergeCells count="1">
    <mergeCell ref="D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9CC7-74BA-499E-A0A5-69871AF73912}">
  <dimension ref="B5:C29"/>
  <sheetViews>
    <sheetView workbookViewId="0">
      <selection activeCell="F19" sqref="F19"/>
    </sheetView>
  </sheetViews>
  <sheetFormatPr defaultRowHeight="15" x14ac:dyDescent="0.25"/>
  <cols>
    <col min="2" max="2" width="14.42578125" customWidth="1"/>
    <col min="3" max="3" width="4.85546875" style="58" customWidth="1"/>
  </cols>
  <sheetData>
    <row r="5" spans="2:3" x14ac:dyDescent="0.25">
      <c r="B5" s="55" t="s">
        <v>36</v>
      </c>
      <c r="C5" s="59">
        <v>15</v>
      </c>
    </row>
    <row r="6" spans="2:3" x14ac:dyDescent="0.25">
      <c r="B6" s="55" t="s">
        <v>39</v>
      </c>
      <c r="C6" s="59">
        <v>15</v>
      </c>
    </row>
    <row r="7" spans="2:3" x14ac:dyDescent="0.25">
      <c r="B7" s="55" t="s">
        <v>40</v>
      </c>
      <c r="C7" s="59">
        <v>15</v>
      </c>
    </row>
    <row r="8" spans="2:3" x14ac:dyDescent="0.25">
      <c r="B8" s="55" t="s">
        <v>43</v>
      </c>
      <c r="C8" s="59">
        <v>15</v>
      </c>
    </row>
    <row r="9" spans="2:3" x14ac:dyDescent="0.25">
      <c r="B9" s="55" t="s">
        <v>44</v>
      </c>
      <c r="C9" s="59">
        <v>15</v>
      </c>
    </row>
    <row r="10" spans="2:3" x14ac:dyDescent="0.25">
      <c r="B10" s="55" t="s">
        <v>48</v>
      </c>
      <c r="C10" s="59">
        <v>15</v>
      </c>
    </row>
    <row r="11" spans="2:3" x14ac:dyDescent="0.25">
      <c r="B11" s="56" t="s">
        <v>27</v>
      </c>
      <c r="C11" s="60">
        <v>14</v>
      </c>
    </row>
    <row r="12" spans="2:3" x14ac:dyDescent="0.25">
      <c r="B12" s="56" t="s">
        <v>15</v>
      </c>
      <c r="C12" s="61">
        <v>13</v>
      </c>
    </row>
    <row r="13" spans="2:3" x14ac:dyDescent="0.25">
      <c r="B13" s="56" t="s">
        <v>17</v>
      </c>
      <c r="C13" s="61">
        <v>13</v>
      </c>
    </row>
    <row r="14" spans="2:3" x14ac:dyDescent="0.25">
      <c r="B14" s="56" t="s">
        <v>18</v>
      </c>
      <c r="C14" s="61">
        <v>13</v>
      </c>
    </row>
    <row r="15" spans="2:3" x14ac:dyDescent="0.25">
      <c r="B15" s="56" t="s">
        <v>28</v>
      </c>
      <c r="C15" s="61">
        <v>13</v>
      </c>
    </row>
    <row r="16" spans="2:3" x14ac:dyDescent="0.25">
      <c r="B16" s="56" t="s">
        <v>30</v>
      </c>
      <c r="C16" s="61">
        <v>13</v>
      </c>
    </row>
    <row r="17" spans="2:3" x14ac:dyDescent="0.25">
      <c r="B17" s="55" t="s">
        <v>37</v>
      </c>
      <c r="C17" s="61">
        <v>13</v>
      </c>
    </row>
    <row r="18" spans="2:3" x14ac:dyDescent="0.25">
      <c r="B18" s="55" t="s">
        <v>41</v>
      </c>
      <c r="C18" s="61">
        <v>13</v>
      </c>
    </row>
    <row r="19" spans="2:3" x14ac:dyDescent="0.25">
      <c r="B19" s="55" t="s">
        <v>45</v>
      </c>
      <c r="C19" s="61">
        <v>13</v>
      </c>
    </row>
    <row r="20" spans="2:3" x14ac:dyDescent="0.25">
      <c r="B20" s="55" t="s">
        <v>47</v>
      </c>
      <c r="C20" s="61">
        <v>13</v>
      </c>
    </row>
    <row r="21" spans="2:3" x14ac:dyDescent="0.25">
      <c r="B21" s="57" t="s">
        <v>3</v>
      </c>
      <c r="C21" s="62">
        <v>12</v>
      </c>
    </row>
    <row r="22" spans="2:3" x14ac:dyDescent="0.25">
      <c r="B22" s="56" t="s">
        <v>19</v>
      </c>
      <c r="C22" s="62">
        <v>12</v>
      </c>
    </row>
    <row r="23" spans="2:3" x14ac:dyDescent="0.25">
      <c r="B23" s="56" t="s">
        <v>20</v>
      </c>
      <c r="C23" s="62">
        <v>12</v>
      </c>
    </row>
    <row r="24" spans="2:3" x14ac:dyDescent="0.25">
      <c r="B24" s="56" t="s">
        <v>22</v>
      </c>
      <c r="C24" s="62">
        <v>12</v>
      </c>
    </row>
    <row r="25" spans="2:3" x14ac:dyDescent="0.25">
      <c r="B25" s="56" t="s">
        <v>25</v>
      </c>
      <c r="C25" s="62">
        <v>12</v>
      </c>
    </row>
    <row r="26" spans="2:3" x14ac:dyDescent="0.25">
      <c r="B26" s="56" t="s">
        <v>34</v>
      </c>
      <c r="C26" s="62">
        <v>12</v>
      </c>
    </row>
    <row r="27" spans="2:3" x14ac:dyDescent="0.25">
      <c r="B27" s="57" t="s">
        <v>4</v>
      </c>
      <c r="C27" s="63">
        <v>11</v>
      </c>
    </row>
    <row r="28" spans="2:3" x14ac:dyDescent="0.25">
      <c r="B28" s="57" t="s">
        <v>5</v>
      </c>
      <c r="C28" s="63">
        <v>11</v>
      </c>
    </row>
    <row r="29" spans="2:3" x14ac:dyDescent="0.25">
      <c r="B29" s="57" t="s">
        <v>10</v>
      </c>
      <c r="C29" s="63">
        <v>11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AHL</vt:lpstr>
      <vt:lpstr>AHL_DAT</vt:lpstr>
      <vt:lpstr>AHL_DAT_STRING</vt:lpstr>
      <vt:lpstr>Stevilo tekem po drzavah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2025-10-28T09:09:23Z</dcterms:modified>
</cp:coreProperties>
</file>