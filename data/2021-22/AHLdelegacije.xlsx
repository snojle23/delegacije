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3DED9930-5136-4DFD-9A44-D7A3E1CC9A7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HL" sheetId="1" r:id="rId1"/>
    <sheet name="redn" sheetId="5" r:id="rId2"/>
    <sheet name="AHL_DAT" sheetId="3" r:id="rId3"/>
    <sheet name="AHL_DAT_STRING" sheetId="4" r:id="rId4"/>
    <sheet name="Sheet2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6" l="1"/>
  <c r="H6" i="6"/>
  <c r="H5" i="6"/>
  <c r="B6" i="6"/>
  <c r="B5" i="6"/>
  <c r="B4" i="6"/>
  <c r="B3" i="6"/>
  <c r="C1" i="6"/>
  <c r="C2" i="6" s="1"/>
  <c r="K1" i="5"/>
  <c r="BV1" i="5"/>
  <c r="BU1" i="5"/>
  <c r="BT1" i="5"/>
  <c r="BS1" i="5"/>
  <c r="BR1" i="5"/>
  <c r="BQ1" i="5"/>
  <c r="BP1" i="5"/>
  <c r="BO1" i="5"/>
  <c r="BN1" i="5"/>
  <c r="BM1" i="5"/>
  <c r="BL1" i="5"/>
  <c r="AH1" i="5"/>
  <c r="AG1" i="5"/>
  <c r="AF1" i="5"/>
  <c r="AE1" i="5"/>
  <c r="BK1" i="5"/>
  <c r="BJ1" i="5"/>
  <c r="AD1" i="5"/>
  <c r="AC1" i="5"/>
  <c r="AB1" i="5"/>
  <c r="BI1" i="5"/>
  <c r="AA1" i="5"/>
  <c r="Z1" i="5"/>
  <c r="Y1" i="5"/>
  <c r="X1" i="5"/>
  <c r="W1" i="5"/>
  <c r="V1" i="5"/>
  <c r="BH1" i="5"/>
  <c r="BG1" i="5"/>
  <c r="BF1" i="5"/>
  <c r="BE1" i="5"/>
  <c r="BD1" i="5"/>
  <c r="BC1" i="5"/>
  <c r="BB1" i="5"/>
  <c r="U1" i="5"/>
  <c r="T1" i="5"/>
  <c r="S1" i="5"/>
  <c r="BA1" i="5"/>
  <c r="AZ1" i="5"/>
  <c r="AY1" i="5"/>
  <c r="AX1" i="5"/>
  <c r="AW1" i="5"/>
  <c r="AV1" i="5"/>
  <c r="AU1" i="5"/>
  <c r="AT1" i="5"/>
  <c r="AS1" i="5"/>
  <c r="R1" i="5"/>
  <c r="Q1" i="5"/>
  <c r="P1" i="5"/>
  <c r="O1" i="5"/>
  <c r="AR1" i="5"/>
  <c r="AQ1" i="5"/>
  <c r="AP1" i="5"/>
  <c r="AO1" i="5"/>
  <c r="AN1" i="5"/>
  <c r="AM1" i="5"/>
  <c r="N1" i="5"/>
  <c r="AL1" i="5"/>
  <c r="AK1" i="5"/>
  <c r="AJ1" i="5"/>
  <c r="M1" i="5"/>
  <c r="L1" i="5"/>
  <c r="AI1" i="5"/>
  <c r="J1" i="5"/>
  <c r="I1" i="5"/>
  <c r="H1" i="5"/>
  <c r="G1" i="5"/>
  <c r="F1" i="5"/>
  <c r="E1" i="5"/>
  <c r="D1" i="5"/>
  <c r="C1" i="5"/>
  <c r="B1" i="5"/>
  <c r="A1" i="5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K7" i="6" l="1"/>
  <c r="B8" i="6"/>
  <c r="K6" i="6"/>
  <c r="J7" i="6"/>
  <c r="J5" i="6"/>
  <c r="J6" i="6"/>
  <c r="L6" i="6" l="1"/>
  <c r="M6" i="6" s="1"/>
  <c r="I7" i="6"/>
  <c r="L7" i="6"/>
  <c r="M7" i="6" s="1"/>
  <c r="I5" i="6"/>
  <c r="I6" i="6"/>
  <c r="K5" i="6"/>
  <c r="L5" i="6" s="1"/>
  <c r="M5" i="6" s="1"/>
</calcChain>
</file>

<file path=xl/sharedStrings.xml><?xml version="1.0" encoding="utf-8"?>
<sst xmlns="http://schemas.openxmlformats.org/spreadsheetml/2006/main" count="5191" uniqueCount="547">
  <si>
    <t>FAJDIGA</t>
  </si>
  <si>
    <t>GROZNIK</t>
  </si>
  <si>
    <t>REZEK</t>
  </si>
  <si>
    <t>BAJT</t>
  </si>
  <si>
    <t>PAHOR</t>
  </si>
  <si>
    <t>LESNIAK</t>
  </si>
  <si>
    <t>SNOJ</t>
  </si>
  <si>
    <t>BERGANT</t>
  </si>
  <si>
    <t>ARLIC</t>
  </si>
  <si>
    <t>JAVORNIK</t>
  </si>
  <si>
    <t>WEISS</t>
  </si>
  <si>
    <t>LAZZERI</t>
  </si>
  <si>
    <t>MOSCHEN</t>
  </si>
  <si>
    <t>HLAVATY</t>
  </si>
  <si>
    <t>RUETZ</t>
  </si>
  <si>
    <t>EISL</t>
  </si>
  <si>
    <t>DE ZORDO</t>
  </si>
  <si>
    <t>KAINBERGER</t>
  </si>
  <si>
    <t>HUBER</t>
  </si>
  <si>
    <t>MOIDL</t>
  </si>
  <si>
    <t>PUFF</t>
  </si>
  <si>
    <t>SCHAUER</t>
  </si>
  <si>
    <t>WIMMLER</t>
  </si>
  <si>
    <t>MANTOVANI</t>
  </si>
  <si>
    <t>BASSO</t>
  </si>
  <si>
    <t>RIGONI</t>
  </si>
  <si>
    <t>CRISTELI</t>
  </si>
  <si>
    <t>LOICHT</t>
  </si>
  <si>
    <t>LEGAT</t>
  </si>
  <si>
    <t>OREL</t>
  </si>
  <si>
    <t>PODLESNIK</t>
  </si>
  <si>
    <t>HOLZER</t>
  </si>
  <si>
    <t>SCHWEIGHOFER</t>
  </si>
  <si>
    <t>KUMMER</t>
  </si>
  <si>
    <t>MATTHEY</t>
  </si>
  <si>
    <t>SCHONAKLENER</t>
  </si>
  <si>
    <t>LEGA</t>
  </si>
  <si>
    <t>SORAPERRA</t>
  </si>
  <si>
    <t>BASSANI</t>
  </si>
  <si>
    <t>BRUNNER</t>
  </si>
  <si>
    <t>REISINGER</t>
  </si>
  <si>
    <t>SPIEGEL</t>
  </si>
  <si>
    <t>WUNTSCHEK</t>
  </si>
  <si>
    <t>RINKER</t>
  </si>
  <si>
    <t>HEINRICHER</t>
  </si>
  <si>
    <t>VOICAN</t>
  </si>
  <si>
    <t>BENVEGNU</t>
  </si>
  <si>
    <t>PINIE</t>
  </si>
  <si>
    <t>FLEISCHMANN</t>
  </si>
  <si>
    <t>PIRAS</t>
  </si>
  <si>
    <t>GIACOMOZZI</t>
  </si>
  <si>
    <t>DA PIAN</t>
  </si>
  <si>
    <t>MARTIN</t>
  </si>
  <si>
    <t>BEDANA</t>
  </si>
  <si>
    <t>EGGER</t>
  </si>
  <si>
    <t>BRONDI</t>
  </si>
  <si>
    <t>PÖTSCHER</t>
  </si>
  <si>
    <t>DURCHNER</t>
  </si>
  <si>
    <t>VIRTA</t>
  </si>
  <si>
    <t>STEFENELLI</t>
  </si>
  <si>
    <t>PACE</t>
  </si>
  <si>
    <t>RICCO</t>
  </si>
  <si>
    <t>WALLNER</t>
  </si>
  <si>
    <t>WIDMANN</t>
  </si>
  <si>
    <t>TSCHREPITSCH</t>
  </si>
  <si>
    <t>LEHNER</t>
  </si>
  <si>
    <t>SEEWALD</t>
  </si>
  <si>
    <t>TELESKLAV</t>
  </si>
  <si>
    <t>MÜLLER</t>
  </si>
  <si>
    <t>WUCHERER</t>
  </si>
  <si>
    <t>BEDYNEK</t>
  </si>
  <si>
    <t>NOTHEGGER</t>
  </si>
  <si>
    <t>KANYO</t>
  </si>
  <si>
    <t>Milovanovic</t>
  </si>
  <si>
    <t>2021-09-11</t>
  </si>
  <si>
    <t>2021-09-18</t>
  </si>
  <si>
    <t>2021-09-16</t>
  </si>
  <si>
    <t>2021-09-23</t>
  </si>
  <si>
    <t>2021-09-14</t>
  </si>
  <si>
    <t>2021-09-28</t>
  </si>
  <si>
    <t>2021-09-24</t>
  </si>
  <si>
    <t>2021-09-30</t>
  </si>
  <si>
    <t>2021-10-01</t>
  </si>
  <si>
    <t>2021-09-25</t>
  </si>
  <si>
    <t>2021-10-07</t>
  </si>
  <si>
    <t>2021-10-09</t>
  </si>
  <si>
    <t>2021-10-14</t>
  </si>
  <si>
    <t>2021-11-11</t>
  </si>
  <si>
    <t>2021-12-02</t>
  </si>
  <si>
    <t>2021-12-28</t>
  </si>
  <si>
    <t>2022-01-06</t>
  </si>
  <si>
    <t>2021-12-30</t>
  </si>
  <si>
    <t>zbrisano</t>
  </si>
  <si>
    <t>2021-10-05</t>
  </si>
  <si>
    <t>2021-10-02</t>
  </si>
  <si>
    <t>2021-10-26</t>
  </si>
  <si>
    <t>2021-10-28</t>
  </si>
  <si>
    <t>2021-10-30</t>
  </si>
  <si>
    <t>2021-11-18</t>
  </si>
  <si>
    <t>2021-11-13</t>
  </si>
  <si>
    <t>2021-10-08</t>
  </si>
  <si>
    <t>2021-10-16</t>
  </si>
  <si>
    <t>2021-10-29</t>
  </si>
  <si>
    <t>2021-10-23</t>
  </si>
  <si>
    <t>2021-11-04</t>
  </si>
  <si>
    <t>2021-11-27</t>
  </si>
  <si>
    <t>2021-12-11</t>
  </si>
  <si>
    <t>2022-02-05</t>
  </si>
  <si>
    <t>2021-10-18</t>
  </si>
  <si>
    <t>2021-10-17</t>
  </si>
  <si>
    <t>2021-10-03</t>
  </si>
  <si>
    <t>2021-11-06</t>
  </si>
  <si>
    <t>2021-10-21</t>
  </si>
  <si>
    <t>2021-10-15</t>
  </si>
  <si>
    <t>2021-09-22</t>
  </si>
  <si>
    <t>2021-10-13</t>
  </si>
  <si>
    <t>2021-11-20</t>
  </si>
  <si>
    <t>2021-12-17</t>
  </si>
  <si>
    <t>2021-12-04</t>
  </si>
  <si>
    <t>2021-11-02</t>
  </si>
  <si>
    <t>2021-11-05</t>
  </si>
  <si>
    <t>2021-10-22</t>
  </si>
  <si>
    <t>2021-11-25</t>
  </si>
  <si>
    <t>2022-01-16</t>
  </si>
  <si>
    <t>2021-11-23</t>
  </si>
  <si>
    <t>2022-01-04</t>
  </si>
  <si>
    <t>2021-11-16</t>
  </si>
  <si>
    <t>2022-02-26</t>
  </si>
  <si>
    <t>2021-11-19</t>
  </si>
  <si>
    <t>2021-12-10</t>
  </si>
  <si>
    <t>2022-01-22</t>
  </si>
  <si>
    <t>2021-12-09</t>
  </si>
  <si>
    <t>2022-03-03</t>
  </si>
  <si>
    <t>2021-10-27</t>
  </si>
  <si>
    <t>2022-01-29</t>
  </si>
  <si>
    <t>2022-03-05</t>
  </si>
  <si>
    <t>2022-01-08</t>
  </si>
  <si>
    <t>2021-12-05</t>
  </si>
  <si>
    <t>2021-12-16</t>
  </si>
  <si>
    <t>2021-12-26</t>
  </si>
  <si>
    <t>2021-11-26</t>
  </si>
  <si>
    <t>2021-12-20</t>
  </si>
  <si>
    <t>2021-12-22</t>
  </si>
  <si>
    <t>2021-12-07</t>
  </si>
  <si>
    <t>2022-01-07</t>
  </si>
  <si>
    <t>2021-12-08</t>
  </si>
  <si>
    <t>2022-02-17</t>
  </si>
  <si>
    <t>2022-01-20</t>
  </si>
  <si>
    <t>2021-12-27</t>
  </si>
  <si>
    <t>2021-12-23</t>
  </si>
  <si>
    <t>2022-02-03</t>
  </si>
  <si>
    <t>2021-12-21</t>
  </si>
  <si>
    <t>2022-02-25</t>
  </si>
  <si>
    <t>2021-12-15</t>
  </si>
  <si>
    <t>2021-12-29</t>
  </si>
  <si>
    <t>2022-01-27</t>
  </si>
  <si>
    <t>2021-12-01</t>
  </si>
  <si>
    <t>2022-01-28</t>
  </si>
  <si>
    <t>2022-01-02</t>
  </si>
  <si>
    <t>2022-01-05</t>
  </si>
  <si>
    <t>2021-12-18</t>
  </si>
  <si>
    <t>2022-01-09</t>
  </si>
  <si>
    <t>2022-01-18</t>
  </si>
  <si>
    <t>2022-02-24</t>
  </si>
  <si>
    <t>2022-02-19</t>
  </si>
  <si>
    <t>2022-03-10</t>
  </si>
  <si>
    <t>2022-03-08</t>
  </si>
  <si>
    <t>2022-01-15</t>
  </si>
  <si>
    <t>2022-03-15</t>
  </si>
  <si>
    <t>2022-01-11</t>
  </si>
  <si>
    <t>2022-01-12</t>
  </si>
  <si>
    <t>2022-03-17</t>
  </si>
  <si>
    <t>2022-02-12</t>
  </si>
  <si>
    <t>2022-01-13</t>
  </si>
  <si>
    <t>2022-03-22</t>
  </si>
  <si>
    <t>2022-02-09</t>
  </si>
  <si>
    <t>2022-02-18</t>
  </si>
  <si>
    <t>2022-01-26</t>
  </si>
  <si>
    <t>2022-03-24</t>
  </si>
  <si>
    <t>2022-03-19</t>
  </si>
  <si>
    <t>2022-03-29</t>
  </si>
  <si>
    <t>2022-02-16</t>
  </si>
  <si>
    <t>2022-03-12</t>
  </si>
  <si>
    <t>2022-03-31</t>
  </si>
  <si>
    <t>2022-04-02</t>
  </si>
  <si>
    <t>2022-04-12</t>
  </si>
  <si>
    <t>2022-03-26</t>
  </si>
  <si>
    <t>2022-04-19</t>
  </si>
  <si>
    <t>2022-04-09</t>
  </si>
  <si>
    <t>2022-04-16</t>
  </si>
  <si>
    <t>2022-04-14</t>
  </si>
  <si>
    <t>2022-04-05</t>
  </si>
  <si>
    <t>Eishalle Lustenau;LEGA;VIRTA;BASSO;CRISTELI</t>
  </si>
  <si>
    <t>Eishalle Lustenau;BENVEGNU;HOLZER;CRISTELI;MARTIN</t>
  </si>
  <si>
    <t>Eishalle Canazei;LAZZERI;MOSCHEN;MANTOVANI;RIGONI</t>
  </si>
  <si>
    <t>w KagranK;BAJT;DURCHNER;JAVORNIK;WEISS</t>
  </si>
  <si>
    <t>Eishalle Ritten;LAZZERI;STEFENELLI;PACE;RICCO</t>
  </si>
  <si>
    <t>Eishalle Feldkirch;PODLESNIK;WIDMANN;PUFF;PÖTSCHER</t>
  </si>
  <si>
    <t>Eishalle Canazei;BENVEGNU;VIRTA;BASSANI;PIRAS</t>
  </si>
  <si>
    <t>Eishalle Feldkirch;HOLZER;WALLNER;KAINBERGER;SPIEGEL</t>
  </si>
  <si>
    <t>Klagenfurter Stadthalle;HEINRICHER;OREL;SCHWEIGHOFER;TSCHREPITSCH</t>
  </si>
  <si>
    <t>Eishalle Jesenice;LEGA;SORAPERRA;BASSANI;SNOJ</t>
  </si>
  <si>
    <t>Eishalle Jesenice;DURCHNER;FAJDIGA;SCHONAKLENER;SNOJ</t>
  </si>
  <si>
    <t>Eishalle Lustenau;BRUNNER;HOLZER;MOIDL;REISINGER</t>
  </si>
  <si>
    <t>Eishalle Asiago;GIACOMOZZI;MOSCHEN;BEDANA;FLEISCHMANN</t>
  </si>
  <si>
    <t>Eishalle Jesenice;BAJT;WUNTSCHEK;BERGANT;SNOJ</t>
  </si>
  <si>
    <t>w KagranK;OREL;WIDMANN;SCHONAKLENER;VOICAN</t>
  </si>
  <si>
    <t>Eishalle Jesenice;HEINRICHER;REZEK;JAVORNIK;PUFF</t>
  </si>
  <si>
    <t>Klagenfurter Stadthalle;BAJT;FAJDIGA;BERGANT;HOLZER</t>
  </si>
  <si>
    <t>Eishalle Dornbirn;HOLZER;LAZZERI;DA PIAN;SPIEGEL</t>
  </si>
  <si>
    <t>Linz AG Eisarena;BRUNNER;LOICHT;LEGAT;WEISS</t>
  </si>
  <si>
    <t>Eishalle Gröden;LAZZERI;LEGA;BASSANI;DA PIAN</t>
  </si>
  <si>
    <t>Eishalle Ritten;MOSCHEN;PINIE;MANTOVANI;RIGONI</t>
  </si>
  <si>
    <t>Eishalle Gröden;STEFENELLI;VIRTA;DE ZORDO;FLEISCHMANN</t>
  </si>
  <si>
    <t>Eishalle Cortina;PAHOR;REZEK;BERGANT;JAVORNIK</t>
  </si>
  <si>
    <t>Klagenfurter Stadthalle;BRUNNER;WALLNER;MATTHEY;MOIDL</t>
  </si>
  <si>
    <t>Eishalle Wien Kagran;LOICHT;WUNTSCHEK;SCHONAKLENER;WEISS</t>
  </si>
  <si>
    <t>Klagenfurter Stadthalle;KUMMER;PODLESNIK;HOLZER;PUFF</t>
  </si>
  <si>
    <t>Eishalle Canazei;EGGER;LEGA;BASSANI;PACE</t>
  </si>
  <si>
    <t>Eishalle Dornbirn;RUETZ;SCHAUER;EISL;SPIEGEL</t>
  </si>
  <si>
    <t>Eishalle Jesenice;PODLESNIK;WIDMANN;ARLIC;BERGANT</t>
  </si>
  <si>
    <t>Linz AG Eisarena;BRUNNER;LEHNER;KAINBERGER;WIMMLER</t>
  </si>
  <si>
    <t>Eishalle Jesenice;FAJDIGA;GROZNIK;BERGANT;SNOJ</t>
  </si>
  <si>
    <t>Klagenfurter Stadthalle;BRUNNER;PAHOR;JAVORNIK;MOIDL</t>
  </si>
  <si>
    <t>Linz AG Eisarena;KUMMER;WUNTSCHEK;MOIDL;SCHWEIGHOFER</t>
  </si>
  <si>
    <t>Eishalle Feldkirch;HLAVATY;SCHAUER;LEGAT;VOICAN</t>
  </si>
  <si>
    <t>Eishalle Gröden;MOSCHEN;VIRTA;BASSO;RIGONI</t>
  </si>
  <si>
    <t>Eishalle Feldkirch;RUETZ;SCHAUER;MÜLLER;RINKER</t>
  </si>
  <si>
    <t>Eishalle Dornbirn;HUBER;LEGA;BASSANI;MÜLLER</t>
  </si>
  <si>
    <t>Eishalle Ritten;HEINRICHER;WUNTSCHEK;PIRAS;TSCHREPITSCH</t>
  </si>
  <si>
    <t>Klagenfurter Stadthalle;LESNIAK;PAHOR;ARLIC;BERGANT</t>
  </si>
  <si>
    <t>Eishalle Wien Kagran;HLAVATY;WIDMANN;SCHWEIGHOFER;VOICAN</t>
  </si>
  <si>
    <t>Linz AG Eisarena;OREL;PODLESNIK;REISINGER;SCHWEIGHOFER</t>
  </si>
  <si>
    <t>Klagenfurter Stadthalle;GROZNIK;OREL;PÖTSCHER;SNOJ</t>
  </si>
  <si>
    <t>Linz AG Eisarena;HEINRICHER;WUNTSCHEK;KAINBERGER;SCHONAKLENER</t>
  </si>
  <si>
    <t>Eisarena Salzburg;LOICHT;WIDMANN;LEGAT;PÖTSCHER</t>
  </si>
  <si>
    <t>Linz AG Eisarena;KUMMER;OREL;VOICAN;WEISS</t>
  </si>
  <si>
    <t>Eishalle Dornbirn;HOLZER;RUETZ;EISL;RINKER</t>
  </si>
  <si>
    <t>Eishalle Jesenice;GROZNIK;LESNIAK;HOLZER;PÖTSCHER</t>
  </si>
  <si>
    <t>Eishalle Jesenice;PAHOR;WIDMANN;BERGANT;JAVORNIK</t>
  </si>
  <si>
    <t>Klagenfurter Stadthalle;BAJT;REZEK;ARLIC;SNOJ</t>
  </si>
  <si>
    <t>Eishalle Sterzing;MOSCHEN;SORAPERRA;CRISTELI;DA PIAN</t>
  </si>
  <si>
    <t>Eishalle Dornbirn;HOLZER;HUBER;EISL;TSCHREPITSCH</t>
  </si>
  <si>
    <t>Eishalle Ritten;GIACOMOZZI;PINIE;CRISTELI;FLEISCHMANN</t>
  </si>
  <si>
    <t>Klagenfurter Stadthalle;HEINRICHER;WUNTSCHEK;HOLZER;SCHWEIGHOFER</t>
  </si>
  <si>
    <t>Eishalle Jesenice;FAJDIGA;LESNIAK;BERGANT;JAVORNIK</t>
  </si>
  <si>
    <t>Eishalle Dornbirn;HUBER;WALLNER;RINKER;SPIEGEL</t>
  </si>
  <si>
    <t>Eishalle Canazei;BENVEGNU;PAHOR;DE ZORDO;JAVORNIK</t>
  </si>
  <si>
    <t>Eishalle Asiago;MOSCHEN;PINIE;DA PIAN;FLEISCHMANN</t>
  </si>
  <si>
    <t>Sportpark Kitzbühel;DURCHNER;HEINRICHER;MATTHEY;MOIDL</t>
  </si>
  <si>
    <t>Eishalle Cortina;KUMMER;WUNTSCHEK;HOLZER;PÖTSCHER</t>
  </si>
  <si>
    <t>Eishalle Lustenau;HOLZER;WALLNER;RINKER;SPIEGEL</t>
  </si>
  <si>
    <t>Eishalle Feldkirch;HOLZER;PINIE;EISL;WIMMLER</t>
  </si>
  <si>
    <t>Eishalle Sterzing;PODLESNIK;VIRTA;DA PIAN;TELESKLAV</t>
  </si>
  <si>
    <t>Eishalle Sterzing;GIACOMOZZI;MOSCHEN;CRISTELI;DA PIAN</t>
  </si>
  <si>
    <t>Eishalle Wien Kagran;LEHNER;WUNTSCHEK;MATTHEY;PUFF</t>
  </si>
  <si>
    <t>Linz AG Eisarena;HLAVATY;LOICHT;MATTHEY;VOICAN</t>
  </si>
  <si>
    <t>Eishalle Dornbirn;HOLZER;MOSCHEN;CRISTELI;TSCHREPITSCH</t>
  </si>
  <si>
    <t>Eishalle Jesenice;Milovanovic;PAHOR;SCHWEIGHOFER;WUCHERER</t>
  </si>
  <si>
    <t>Sportpark Kitzbühel;HUBER;OREL;PÖTSCHER;SPIEGEL</t>
  </si>
  <si>
    <t>Eishalle Sterzing;LEGA;VIRTA;BASSO;DE ZORDO</t>
  </si>
  <si>
    <t>Eishalle Dornbirn;HOLZER;RUETZ;EISL;TSCHREPITSCH</t>
  </si>
  <si>
    <t>Linz AG Eisarena;DURCHNER;WIDMANN;SCHONAKLENER;SCHWEIGHOFER</t>
  </si>
  <si>
    <t>Eishalle Wien Kagran;HLAVATY;LOICHT;SCHONAKLENER;VOICAN</t>
  </si>
  <si>
    <t>Klagenfurter Stadthalle;BRUNNER;LEHNER;MOIDL;PÖTSCHER</t>
  </si>
  <si>
    <t>Eishalle Asiago;DURCHNER;KUMMER;MANTOVANI;PIRAS</t>
  </si>
  <si>
    <t>Eisarena Salzburg;HLAVATY;LESNIAK;BERGANT;SCHONAKLENER</t>
  </si>
  <si>
    <t>Eishalle Zell am See;KAINBERGER;LEHNER;MATTHEY;TSCHREPITSCH</t>
  </si>
  <si>
    <t>Eishalle Dornbirn;HUBER;RUETZ;HUBER;TSCHREPITSCH</t>
  </si>
  <si>
    <t>Eishalle Dornbirn;HUBER;SCHAUER;HUBER;TSCHREPITSCH</t>
  </si>
  <si>
    <t>Eishalle Lustenau;EGGER;HOLZER;DE ZORDO;SPIEGEL</t>
  </si>
  <si>
    <t>Eishalle Wien Kagran;LOICHT;PODLESNIK;LEGAT;WEISS</t>
  </si>
  <si>
    <t>Eishalle Ritten;LAZZERI;MOSCHEN;CRISTELI;PACE</t>
  </si>
  <si>
    <t>Eishalle Wien Kagran;BRUNNER;WUNTSCHEK;BERGANT;VOICAN</t>
  </si>
  <si>
    <t>Linz AG Eisarena;BRUNNER;PODLESNIK;MATTHEY;WEISS</t>
  </si>
  <si>
    <t>Eishalle Feldkirch;EGGER;RUETZ;BRONDI;SPIEGEL</t>
  </si>
  <si>
    <t>Eishalle Dornbirn;BRUNNER;HOLZER;MATTHEY;MOIDL</t>
  </si>
  <si>
    <t>Eishalle Lustenau;HUBER;SCHAUER;HUBER;RINKER</t>
  </si>
  <si>
    <t>Eishalle Dornbirn;RUETZ;WALLNER;SPIEGEL;TSCHREPITSCH</t>
  </si>
  <si>
    <t>Linz AG Eisarena;DURCHNER;KUMMER;PUFF;REISINGER</t>
  </si>
  <si>
    <t>Eishalle Meran;SORAPERRA;VIRTA;DE ZORDO;PIRAS</t>
  </si>
  <si>
    <t>Eishalle Lustenau;HOLZER;LAZZERI;PACE;SPIEGEL</t>
  </si>
  <si>
    <t>Eishalle Wien Kagran;DURCHNER;LOICHT;SCHONAKLENER;WIMMLER</t>
  </si>
  <si>
    <t>Eishalle Jesenice;LESNIAK;OREL;BERGANT;PÖTSCHER</t>
  </si>
  <si>
    <t>Eishalle Lustenau;RUETZ;SCHAUER;HUBER;SPIEGEL</t>
  </si>
  <si>
    <t>Eishalle Gröden;LESNIAK;PAHOR;PIRAS;RIGONI</t>
  </si>
  <si>
    <t>Sportpark Kitzbühel;BAJT;REZEK;REISINGER;SPIEGEL</t>
  </si>
  <si>
    <t>Eishalle Feldkirch;MOSCHEN;SCHAUER;BEDANA;EISL</t>
  </si>
  <si>
    <t>Klagenfurter Stadthalle;BAJT;HEINRICHER;PÖTSCHER;SNOJ</t>
  </si>
  <si>
    <t>Eishalle Jesenice;GROZNIK;REZEK;ARLIC;SNOJ</t>
  </si>
  <si>
    <t>Eishalle Cortina;KUMMER;PAHOR;BERGANT;HOLZER</t>
  </si>
  <si>
    <t>Eishalle Ritten;GROZNIK;REZEK;MANTOVANI;SNOJ</t>
  </si>
  <si>
    <t>Eishalle Asiago;BENVEGNU;STEFENELLI;BEDANA;PIRAS</t>
  </si>
  <si>
    <t>Eisarena Salzburg;LESNIAK;PAHOR;ARLIC;JAVORNIK</t>
  </si>
  <si>
    <t>Eishalle Lustenau;RUETZ;SCHAUER;EISL;RINKER</t>
  </si>
  <si>
    <t>Sportpark Kitzbühel;RUETZ;SCHAUER;KAINBERGER;MARTIN</t>
  </si>
  <si>
    <t>Eisarena Salzburg;BRUNNER;LEHNER;MOIDL;SEEWALD</t>
  </si>
  <si>
    <t>Eishalle Zell am See;WALLNER;WIDMANN;PUFF;TELESKLAV</t>
  </si>
  <si>
    <t>Klagenfurter Stadthalle;FAJDIGA;LESNIAK;HOLZER;JAVORNIK</t>
  </si>
  <si>
    <t>Eishalle Feldkirch;HLAVATY;HOLZER;MATTHEY;VOICAN</t>
  </si>
  <si>
    <t>Eishalle Brixen;HUBER;SCHAUER;EISL;RINKER</t>
  </si>
  <si>
    <t>Eishalle Gröden;MOSCHEN;VIRTA;DE ZORDO;RIGONI</t>
  </si>
  <si>
    <t>Eisarena Salzburg;HEINRICHER;WUNTSCHEK;PÖTSCHER;TSCHREPITSCH</t>
  </si>
  <si>
    <t>Klagenfurter Stadthalle;LESNIAK;WALLNER;KAINBERGER;TSCHREPITSCH</t>
  </si>
  <si>
    <t>Eishalle Gröden;GIACOMOZZI;STEFENELLI;BEDANA;PIRAS</t>
  </si>
  <si>
    <t>Eisarena Salzburg;OREL;WALLNER;KAINBERGER;TSCHREPITSCH</t>
  </si>
  <si>
    <t>Eishalle Dornbirn;HOLZER;LEGA;BASSANI;RINKER</t>
  </si>
  <si>
    <t>Eishalle Wien Kagran;BRUNNER;HEINRICHER;HOLZER;WEISS</t>
  </si>
  <si>
    <t>Eishalle Lustenau;HOLZER;LEHNER;BEDYNEK;SPIEGEL</t>
  </si>
  <si>
    <t>Linz AG Eisarena;BRUNNER;KUMMER;MATTHEY;MOIDL</t>
  </si>
  <si>
    <t>Eishalle Jesenice;KUMMER;WUNTSCHEK;HOLZER;TELESKLAV</t>
  </si>
  <si>
    <t>Eishalle Meran;SORAPERRA;STEFENELLI;BASSO;PIRAS</t>
  </si>
  <si>
    <t>Eishalle Ritten;KUMMER;REZEK;JAVORNIK;SCHWEIGHOFER</t>
  </si>
  <si>
    <t>Eishalle Feldkirch;BENVEGNU;MOSCHEN;BEDANA;TSCHREPITSCH</t>
  </si>
  <si>
    <t>Eishalle Lustenau;LEGA;SCHAUER;BASSANI;EISL</t>
  </si>
  <si>
    <t>Eishalle Ritten;BAJT;GIACOMOZZI;BERGANT;DE ZORDO</t>
  </si>
  <si>
    <t>Klagenfurter Stadthalle;OREL;PODLESNIK;ARLIC;SCHWEIGHOFER</t>
  </si>
  <si>
    <t>Merkur Eisstadion Graz;LEHNER;LOICHT;MOIDL;VOICAN</t>
  </si>
  <si>
    <t>Eishalle Canazei;BENVEGNU;SORAPERRA;BEDANA;PIRAS</t>
  </si>
  <si>
    <t>Sportpark Kitzbühel;SCHAUER;WALLNER;KAINBERGER;WIMMLER</t>
  </si>
  <si>
    <t>Eishalle Ritten;MOSCHEN;PINIE;BRONDI;DA PIAN</t>
  </si>
  <si>
    <t>Eishalle Sterzing;SORAPERRA;STEFENELLI;BRONDI;CRISTELI</t>
  </si>
  <si>
    <t>Eishalle Meran;BAJT;EGGER;ARLIC;FLEISCHMANN</t>
  </si>
  <si>
    <t>Eishalle Zell am See;OREL;REZEK;EISL;KAINBERGER</t>
  </si>
  <si>
    <t>Eishalle Canazei;GIACOMOZZI;MOSCHEN;BASSANI;CRISTELI</t>
  </si>
  <si>
    <t>Eishalle Zell am See;WALLNER;WIDMANN;KAINBERGER;NOTHEGGER</t>
  </si>
  <si>
    <t>Eishalle Lustenau;HUBER;LEHNER;HUBER;MOIDL</t>
  </si>
  <si>
    <t>Eishalle Ritten;GIACOMOZZI;VIRTA;CRISTELI;PACE</t>
  </si>
  <si>
    <t>Eisarena Salzburg;FAJDIGA;WIDMANN;KAINBERGER;KANYO</t>
  </si>
  <si>
    <t>Linz AG Eisarena;BAJT;BRUNNER;REISINGER;SNOJ</t>
  </si>
  <si>
    <t>Eisarena Salzburg;HLAVATY;LEHNER;MOIDL;VOICAN</t>
  </si>
  <si>
    <t>Eishalle Feldkirch;RUETZ;SORAPERRA;BRONDI;RINKER</t>
  </si>
  <si>
    <t>Eishalle Dornbirn;HOLZER;PINIE;PACE;SPIEGEL</t>
  </si>
  <si>
    <t>Eishalle Dornbirn;KUMMER;WUNTSCHEK;MÜLLER;TSCHREPITSCH</t>
  </si>
  <si>
    <t>Eishalle Zell am See;BRUNNER;RUETZ;MOIDL;RINKER</t>
  </si>
  <si>
    <t>Eishalle Jesenice;BAJT;HEINRICHER;JAVORNIK;PUFF</t>
  </si>
  <si>
    <t>Sportpark Kitzbühel;RUETZ;WALLNER;HUBER;RINKER</t>
  </si>
  <si>
    <t>Eishalle Lustenau;HUBER;SCHAUER;SPIEGEL;TSCHREPITSCH</t>
  </si>
  <si>
    <t>Eishalle Lustenau;MOSCHEN;STEFENELLI;EISL;RINKER</t>
  </si>
  <si>
    <t>Eishalle Sterzing;GIACOMOZZI;VIRTA;DA PIAN;PACE</t>
  </si>
  <si>
    <t>Eishalle Feldkirch;HOLZER;LEGA;BASSANI;HUBER</t>
  </si>
  <si>
    <t>Linz AG Eisarena;HLAVATY;HOLZER;MÜLLER;WEISS</t>
  </si>
  <si>
    <t>Eishalle Feldkirch;HOLZER;HUBER;MÜLLER;TSCHREPITSCH</t>
  </si>
  <si>
    <t>Eishalle Wien Kagran;HEINRICHER;LOICHT;PUFF;VOICAN</t>
  </si>
  <si>
    <t>Eishalle Gröden;EGGER;GIACOMOZZI;BRONDI;PIRAS</t>
  </si>
  <si>
    <t>Linz AG Eisarena;OREL;WUNTSCHEK;PUFF;WEISS</t>
  </si>
  <si>
    <t>Eishalle Asiago;LAZZERI;VIRTA;BASSO;MANTOVANI</t>
  </si>
  <si>
    <t>Eishalle Canazei;GIACOMOZZI;MOSCHEN;DE ZORDO;FLEISCHMANN</t>
  </si>
  <si>
    <t>Eisarena Salzburg;BRUNNER;DURCHNER;SCHONAKLENER;WEISS</t>
  </si>
  <si>
    <t>Eishalle Wien Kagran;HLAVATY;LOICHT;LEGAT;WEISS</t>
  </si>
  <si>
    <t>Eishalle Cortina;HUBER;PINIE;FLEISCHMANN;RINKER</t>
  </si>
  <si>
    <t>Eishalle Canazei;BENVEGNU;MOSCHEN;DA PIAN;RICCO</t>
  </si>
  <si>
    <t>Eishalle Ritten;PINIE;STEFENELLI;BEDANA;DE ZORDO</t>
  </si>
  <si>
    <t>Eishalle Feldkirch;HOLZER;RUETZ;EISL;KAINBERGER</t>
  </si>
  <si>
    <t>Sportpark Kitzbühel;LEHNER;MOSCHEN;BRONDI;MATTHEY</t>
  </si>
  <si>
    <t>Eisarena Salzburg;WIDMANN;WUNTSCHEK;KAINBERGER;SCHWEIGHOFER</t>
  </si>
  <si>
    <t>Eishalle Meran;BENVEGNU;EGGER;BRONDI;FLEISCHMANN</t>
  </si>
  <si>
    <t>Eishalle Feldkirch;HOLZER;LAZZERI;BEDANA;SPIEGEL</t>
  </si>
  <si>
    <t>Eishalle Lustenau;HOLZER;HUBER;RINKER;SPIEGEL</t>
  </si>
  <si>
    <t>Eishalle Wien Kagran;DURCHNER;PODLESNIK;SCHONAKLENER;WEISS</t>
  </si>
  <si>
    <t>Sportpark Kitzbühel;HOLZER;MOSCHEN;PACE;SPIEGEL</t>
  </si>
  <si>
    <t>Sportpark Kitzbühel;HUBER;LEGA;BASSANI;EISL</t>
  </si>
  <si>
    <t>Eisarena Salzburg;OREL;WALLNER;KAINBERGER;PUFF</t>
  </si>
  <si>
    <t>Eishalle Zell am See;BAJT;LOICHT;LEGAT;WEISS</t>
  </si>
  <si>
    <t>Eishalle Wien Kagran;HLAVATY;WALLNER;KAINBERGER;LEGAT</t>
  </si>
  <si>
    <t>Kitzbühel Sportpark;PODLESNIK;RUETZ;PUFF;RINKER</t>
  </si>
  <si>
    <t>Eisarena Salzburg;BENVEGNU;PINIE;KAINBERGER;WIMMLER</t>
  </si>
  <si>
    <t>Sportpark Kitzbühel;SCHAUER;WUNTSCHEK;EISL;WUCHERER</t>
  </si>
  <si>
    <t>Eishalle Lustenau;SCHAUER;STEFENELLI;MÜLLER;PIRAS</t>
  </si>
  <si>
    <t>Eishalle Meran;EGGER;LAZZERI;DE ZORDO;PACE</t>
  </si>
  <si>
    <t>Linz AG Eisarena;LEHNER;LOICHT;LEGAT;VOICAN</t>
  </si>
  <si>
    <t>Eishalle Asiago;BENVEGNU;VIRTA;BASSANI;PIRAS</t>
  </si>
  <si>
    <t>Eishalle Sterzing;BENVEGNU;SORAPERRA;BRONDI;FLEISCHMANN</t>
  </si>
  <si>
    <t>Eishalle Ritten;PINIE;VIRTA;MANTOVANI;WEISS</t>
  </si>
  <si>
    <t>Eishalle Sterzing;EGGER;HOLZER;EISL;RINKER</t>
  </si>
  <si>
    <t>Eishalle Cortina;EGGER;SORAPERRA;BRONDI;PIRAS</t>
  </si>
  <si>
    <t>Eishalle Zell am See;DURCHNER;HEINRICHER;LEGAT;VOICAN</t>
  </si>
  <si>
    <t>Eishalle Ritten;BENVEGNU;STEFENELLI;CRISTELI;DA PIAN</t>
  </si>
  <si>
    <t>Sportpark Kitzbühel;HOLZER;SCHAUER;HUBER;TSCHREPITSCH</t>
  </si>
  <si>
    <t>Eishalle Feldkirch;SCHAUER;WALLNER;EISL;WIMMLER</t>
  </si>
  <si>
    <t>Eishalle Jesenice;DURCHNER;REZEK;ARLIC;PÖTSCHER</t>
  </si>
  <si>
    <t>Eishalle Ritten;MOSCHEN;PINIE;DE ZORDO;PIRAS</t>
  </si>
  <si>
    <t>Kitzbühel Sportpark;OREL;PAHOR;PUFF;SCHWEIGHOFER</t>
  </si>
  <si>
    <t>Eishalle Jesenice;HEINRICHER;PODLESNIK;ARLIC;SNOJ</t>
  </si>
  <si>
    <t>Eisarena Salzburg;RUETZ;SCHAUER;LEGAT;VOICAN</t>
  </si>
  <si>
    <t>Eishalle Dornbirn;LEGA;WALLNER;BASSANI;EISL</t>
  </si>
  <si>
    <t>Eishalle Cortina;BENVEGNU;FAJDIGA;ARLIC;CRISTELI</t>
  </si>
  <si>
    <t>Eishalle Dornbirn;HUBER;LEGA;BASSANI;TSCHREPITSCH</t>
  </si>
  <si>
    <t>Eishalle Jesenice;FAJDIGA;LESNIAK;ARLIC;SNOJ</t>
  </si>
  <si>
    <t>Eishalle Meran;BENVEGNU;PINIE;BEDANA;DE ZORDO</t>
  </si>
  <si>
    <t>Eishalle Cortina;FAJDIGA;LESNIAK;DA PIAN;RIGONI</t>
  </si>
  <si>
    <t>Klagenfurter Stadthalle;LOICHT;WUNTSCHEK;LEGAT;SCHONAKLENER</t>
  </si>
  <si>
    <t>Eishalle Cortina;EGGER;MOSCHEN;CRISTELI;DE ZORDO</t>
  </si>
  <si>
    <t>Eishalle Zell am See;KUMMER;WUNTSCHEK;HOLZER;PUFF</t>
  </si>
  <si>
    <t>Eishalle Cortina;LEGA;SORAPERRA;BASSANI;MANTOVANI</t>
  </si>
  <si>
    <t>Eishalle Meran;BENVEGNU;EGGER;CRISTELI;FLEISCHMANN</t>
  </si>
  <si>
    <t>Eishalle Lustenau;EGGER;VIRTA;MARTIN;SPIEGEL</t>
  </si>
  <si>
    <t>Eishalle Meran;GIACOMOZZI;SORAPERRA;CRISTELI;DE ZORDO</t>
  </si>
  <si>
    <t>Eishalle Dornbirn;HLAVATY;RUETZ;MATTHEY;VOICAN</t>
  </si>
  <si>
    <t>Eishalle Cortina;MOSCHEN;SORAPERRA;DA PIAN;PIRAS</t>
  </si>
  <si>
    <t>Eishalle Lustenau;BENVEGNU;SCHAUER;DA PIAN;RINKER</t>
  </si>
  <si>
    <t>Eishalle Ritten;MOSCHEN;SORAPERRA;BRONDI;MANTOVANI</t>
  </si>
  <si>
    <t>Eishalle Zell am See;BAJT;WIDMANN;PÖTSCHER;SEEWALD</t>
  </si>
  <si>
    <t>Eishalle Ritten;BENVEGNU;PINIE;DA PIAN;DE ZORDO</t>
  </si>
  <si>
    <t>Eishalle Zell am See;OREL;PODLESNIK;TSCHREPITSCH;WIMMLER</t>
  </si>
  <si>
    <t>Eishalle Feldkirch;HOLZER;SCHAUER;RINKER;SPIEGEL</t>
  </si>
  <si>
    <t>Sportpark Kitzbühel;HEINRICHER;WALLNER;HOLZER;WIMMLER</t>
  </si>
  <si>
    <t>Eishalle Brixen;GIACOMOZZI;LAZZERI;DA PIAN;MANTOVANI</t>
  </si>
  <si>
    <t>Eishalle Meran;EGGER;FAJDIGA;ARLIC;PACE</t>
  </si>
  <si>
    <t>Eishalle Wien Kagran;HLAVATY;LOICHT;PÖTSCHER;TELESKLAV</t>
  </si>
  <si>
    <t>Eishalle Zell am See;DURCHNER;HEINRICHER;KAINBERGER;RINKER</t>
  </si>
  <si>
    <t>Eishalle Feldkirch;HOLZER;LEGA;DE ZORDO;SPIEGEL</t>
  </si>
  <si>
    <t>Eishalle Sterzing;LEGA;STEFENELLI;BASSANI;BRONDI</t>
  </si>
  <si>
    <t>Eisarena Salzburg;PAHOR;REZEK;MATTHEY;MOIDL</t>
  </si>
  <si>
    <t>Sportpark Kitzbühel;RUETZ;SCHAUER;HUBER;WIMMLER</t>
  </si>
  <si>
    <t>Eishalle Asiago;LESNIAK;PODLESNIK;PUFF;SNOJ</t>
  </si>
  <si>
    <t>Eishalle Sterzing;BENVEGNU;LAZZERI;BEDANA;HUBER</t>
  </si>
  <si>
    <t>Eishalle Wien Kagran;HLAVATY;WIDMANN;LEGAT;WEISS</t>
  </si>
  <si>
    <t>Eishalle Sterzing;BAJT;REZEK;BRONDI;SNOJ</t>
  </si>
  <si>
    <t>Eishalle Cortina;PINIE;SORAPERRA;DA PIAN;PACE</t>
  </si>
  <si>
    <t>Linz AG Eisarena;DURCHNER;WIDMANN;MATTHEY;VOICAN</t>
  </si>
  <si>
    <t>Eishalle Feldkirch;HOLZER;LEGA;BASSANI;SPIEGEL</t>
  </si>
  <si>
    <t>Klagenfurter Stadthalle;HEINRICHER;OREL;SCHWEIGHOFER;WUCHERER</t>
  </si>
  <si>
    <t>Eisarena Salzburg;LOICHT;WIDMANN;MATTHEY;VOICAN</t>
  </si>
  <si>
    <t>Eishalle Zell am See;BRUNNER;WALLNER;KAINBERGER;MATTHEY</t>
  </si>
  <si>
    <t>Sportpark Kitzbühel;HEINRICHER;WUNTSCHEK;RINKER;TSCHREPITSCH</t>
  </si>
  <si>
    <t>Eishalle Canazei;EGGER;PINIE;BRONDI;DE ZORDO</t>
  </si>
  <si>
    <t>Eisarena Salzburg;HOLZER;OREL;PÖTSCHER;RINKER</t>
  </si>
  <si>
    <t>Eishalle Asiago;BENVEGNU;PINIE;FLEISCHMANN;PIRAS</t>
  </si>
  <si>
    <t>Eishalle Brixen;HUBER;RUETZ;CRISTELI;RINKER</t>
  </si>
  <si>
    <t>Eishalle Gröden;EGGER;MOSCHEN;BEDANA;EISL</t>
  </si>
  <si>
    <t>Eishalle Lustenau;HOLZER;SCHAUER;EISL;MARTIN</t>
  </si>
  <si>
    <t>Sportpark Kitzbühel;FAJDIGA;RUETZ;ARLIC;EISL</t>
  </si>
  <si>
    <t>Eishalle Gröden;EGGER;MOSCHEN;BRONDI;CRISTELI</t>
  </si>
  <si>
    <t>Eishalle Gröden;LAZZERI;VIRTA;BEDANA;DE ZORDO</t>
  </si>
  <si>
    <t>Eishalle Asiago;GIACOMOZZI;MOSCHEN;MANTOVANI;PIRAS</t>
  </si>
  <si>
    <t>Eishalle Zell am See;DURCHNER;KUMMER;PÖTSCHER;SCHWEIGHOFER</t>
  </si>
  <si>
    <t>Eishalle Canazei;BENVEGNU;STEFENELLI;BEDANA;FLEISCHMANN</t>
  </si>
  <si>
    <t>Sportpark Kitzbühel;HOLZER;WALLNER;RINKER;SPIEGEL</t>
  </si>
  <si>
    <t>Eishalle Canazei;GIACOMOZZI;STEFENELLI;CRISTELI;MANTOVANI</t>
  </si>
  <si>
    <t>Linz AG Eisarena;BRUNNER;LEHNER;LEGAT;MOIDL</t>
  </si>
  <si>
    <t>Eishalle Cortina;DURCHNER;OREL;PUFF;SCHWEIGHOFER</t>
  </si>
  <si>
    <t>Eishalle Cortina;HEINRICHER;WUNTSCHEK;DE ZORDO;FLEISCHMANN</t>
  </si>
  <si>
    <t>Eishalle Asiago;EGGER;LAZZERI;BRONDI;MANTOVANI</t>
  </si>
  <si>
    <t>Eishalle Lustenau;HLAVATY;RUETZ;LEGAT;VOICAN</t>
  </si>
  <si>
    <t>Eishalle Ritten;BENVEGNU;MOSCHEN;BEDANA;CRISTELI</t>
  </si>
  <si>
    <t>Eishalle Cortina;HOLZER;SCHAUER;DE ZORDO;FLEISCHMANN</t>
  </si>
  <si>
    <t>Eishalle Gröden;SORAPERRA;STEFENELLI;BRONDI;FLEISCHMANN</t>
  </si>
  <si>
    <t>Eishalle Zell am See;BRUNNER;LEHNER;MATTHEY;REISINGER</t>
  </si>
  <si>
    <t>Eishalle Meran;MOSCHEN;STEFENELLI;BEDANA;PACE</t>
  </si>
  <si>
    <t>Eishalle Gröden;FAJDIGA;VIRTA;ARLIC;BASSANI</t>
  </si>
  <si>
    <t>Eishalle Meran;BENVEGNU;LEGA;BASSANI;WEISS</t>
  </si>
  <si>
    <t>Eishalle Cortina;BENVEGNU;MOSCHEN;BRONDI;DE ZORDO</t>
  </si>
  <si>
    <t>Eishalle Meran;BAJT;FAJDIGA;HOLZER;TELESKLAV</t>
  </si>
  <si>
    <t>Eishalle Gröden;EGGER;LAZZERI;BASSO;PIRAS</t>
  </si>
  <si>
    <t>Eishalle Canazei;BENVEGNU;FAJDIGA;PIRAS;PUFF</t>
  </si>
  <si>
    <t>Sportpark Kitzbühel;LEHNER;VIRTA;BASSO;MOIDL</t>
  </si>
  <si>
    <t>Eisarena Salzburg;PAHOR;PODLESNIK;EISL;WIMMLER</t>
  </si>
  <si>
    <t>Eishalle Zell am See;LAZZERI;LOICHT;FLEISCHMANN;LEGAT</t>
  </si>
  <si>
    <t>Eishalle Sterzing;HEINRICHER;LAZZERI;DA PIAN;TSCHREPITSCH</t>
  </si>
  <si>
    <t>Eishalle Ritten;BENVEGNU;PINIE;BEDANA;BRONDI</t>
  </si>
  <si>
    <t>Eishalle Ritten;MOSCHEN;REZEK;BERGANT;FLEISCHMANN</t>
  </si>
  <si>
    <t>Eishalle Wien Kagran;BRUNNER;WIDMANN;MATTHEY;SCHWEIGHOFER</t>
  </si>
  <si>
    <t>Eishalle Sterzing;LAZZERI;MOSCHEN;BEDANA;DA PIAN</t>
  </si>
  <si>
    <t>Eishalle Asiago;DURCHNER;PINIE;BASSO;PUFF</t>
  </si>
  <si>
    <t>Eishalle Ritten;GIACOMOZZI;LAZZERI;DA PIAN;DE ZORDO</t>
  </si>
  <si>
    <t>Eishalle Meran;BENVEGNU;HOLZER;CRISTELI;SPIEGEL</t>
  </si>
  <si>
    <t>Eishalle Zell am See;HUBER;WALLNER;KAINBERGER;WIMMLER</t>
  </si>
  <si>
    <t>Eishalle Lustenau;PODLESNIK;WIDMANN;PUFF;PÖTSCHER</t>
  </si>
  <si>
    <t>Linz AG Eisarena;LOICHT;OREL;LEGAT;PUFF</t>
  </si>
  <si>
    <t>Eisarena Salzburg;HLAVATY;LEHNER;MATTHEY;WEISS</t>
  </si>
  <si>
    <t>Eishalle Asiago;LESNIAK;PAHOR;MANTOVANI;RIGONI</t>
  </si>
  <si>
    <t>Eishalle Asiago;BAJT;GROZNIK;ARLIC;SNOJ</t>
  </si>
  <si>
    <t>Eishalle Asiago;DURCHNER;OREL;PUFF;PÖTSCHER</t>
  </si>
  <si>
    <t>Linz AG Eisarena;DURCHNER;HEINRICHER;HOLZER;SCHWEIGHOFER</t>
  </si>
  <si>
    <t>Merkur Eisstadion Graz;HEINRICHER;OREL;REISINGER;VOICAN</t>
  </si>
  <si>
    <t>Eishalle Asiago;BENVEGNU;VIRTA;BASSO;CRISTELI</t>
  </si>
  <si>
    <t>Eishalle Meran;GIACOMOZZI;KUMMER;CRISTELI;PUFF</t>
  </si>
  <si>
    <t>Eishalle Canazei;EGGER;PINIE;DA PIAN;DE ZORDO</t>
  </si>
  <si>
    <t>Eishalle Brixen;EGGER;GIACOMOZZI;MANTOVANI;PACE</t>
  </si>
  <si>
    <t>Eishalle Dornbirn;MOSCHEN;WALLNER;BASSANI;TSCHREPITSCH</t>
  </si>
  <si>
    <t>Eishalle Cortina;PINIE;SORAPERRA;CRISTELI;PIRAS</t>
  </si>
  <si>
    <t>Eishalle Asiago;GIACOMOZZI;PINIE;BEDANA;FLEISCHMANN</t>
  </si>
  <si>
    <t>Eishalle Feldkirch;HUBER;SCHAUER;MÜLLER;TSCHREPITSCH</t>
  </si>
  <si>
    <t>Eishalle Canazei;SORAPERRA;STEFENELLI;BEDANA;PACE</t>
  </si>
  <si>
    <t>Eishalle Sterzing;LAZZERI;PINIE;DE ZORDO;PACE</t>
  </si>
  <si>
    <t>Eishalle Canazei;OREL;STEFENELLI;DA PIAN;PUFF</t>
  </si>
  <si>
    <t>Eishalle Meran;LEGA;PAHOR;BERGANT;BRONDI</t>
  </si>
  <si>
    <t>Klagenfurter Stadthalle;LESNIAK;LOICHT;LEGAT;SNOJ</t>
  </si>
  <si>
    <t>Eishalle Gröden;BENVEGNU;MOSCHEN;DA PIAN;DE ZORDO</t>
  </si>
  <si>
    <t>Eishalle Canazei;LEGA;LEHNER;BASSANI;MATTHEY</t>
  </si>
  <si>
    <t>Eishalle Asiago;BAJT;LESNIAK;MANTOVANI;PACE</t>
  </si>
  <si>
    <t>Eishalle Gröden;HUBER;SORAPERRA;BRONDI;HUBER</t>
  </si>
  <si>
    <t>Eishalle Zell am See;EGGER;FAJDIGA;CRISTELI;JAVORNIK</t>
  </si>
  <si>
    <t>Klagenfurter Stadthalle;BAJT;HEINRICHER;JAVORNIK;PUFF</t>
  </si>
  <si>
    <t>Eishalle Ritten;LAZZERI;SORAPERRA;BEDANA;CRISTELI</t>
  </si>
  <si>
    <t>Eisarena Salzburg;HUBER;SCHAUER;MATTHEY;MOIDL</t>
  </si>
  <si>
    <t>Eisarena Salzburg;RUETZ;SCHAUER;MOIDL;REISINGER</t>
  </si>
  <si>
    <t>Eishalle Meran;BRUNNER;EGGER;CRISTELI;REISINGER</t>
  </si>
  <si>
    <t>Eishalle Dornbirn;BRUNNER;HUBER;MOIDL;REISINGER</t>
  </si>
  <si>
    <t>Eishalle Cortina;HOLZER;REZEK;ARLIC;SPIEGEL</t>
  </si>
  <si>
    <t>Eishalle Feldkirch;LAZZERI;RUETZ;CRISTELI;SPIEGEL</t>
  </si>
  <si>
    <t>Eishalle Sterzing;EGGER;SORAPERRA;PACE;PIRAS</t>
  </si>
  <si>
    <t>Linz AG Eisarena;LEHNER;LOICHT;MATTHEY;VOICAN</t>
  </si>
  <si>
    <t>Eishalle Gröden;BENVEGNU;LAZZERI;DE ZORDO;MANTOVANI</t>
  </si>
  <si>
    <t>Eishalle Sterzing;GIACOMOZZI;STEFENELLI;BEDANA;EISL</t>
  </si>
  <si>
    <t>Eishalle Meran;HOLZER;PINIE;BASSANI;TSCHREPITSCH</t>
  </si>
  <si>
    <t>Eishalle Canazei;PINIE;STEFENELLI;BEDANA;CRISTELI</t>
  </si>
  <si>
    <t>Eishalle Gröden;RUETZ;WALLNER;RINKER;WIMMLER</t>
  </si>
  <si>
    <t>Eishalle Cortina;BAJT;PAHOR;BEDANA;DE ZORDO</t>
  </si>
  <si>
    <t>Eishalle Asiago;LAZZERI;PINIE;BASSO;PIRAS</t>
  </si>
  <si>
    <t>Linz AG Eisarena;BRUNNER;HLAVATY;MOIDL;WEISS</t>
  </si>
  <si>
    <t>Eishalle Meran;BAJT;PODLESNIK;HOLZER;SCHWEIGHOFER</t>
  </si>
  <si>
    <t>Eishalle Zell am See;RUETZ;WUNTSCHEK;KAINBERGER;RINKER</t>
  </si>
  <si>
    <t>Sportpark Kitzbühel;BRUNNER;HUBER;KAINBERGER;WIMMLER</t>
  </si>
  <si>
    <t>Klagenfurt Stadthalle;GROZNIK;REZEK;HOLZER;SCHWEIGHOFER</t>
  </si>
  <si>
    <t>Eishalle Canazei;BAJT;STEFENELLI;BERGANT;FLEISCHMANN</t>
  </si>
  <si>
    <t>Eishalle Dornbirn;HUBER;SCHAUER;EISL;SPIEGEL</t>
  </si>
  <si>
    <t>Eishalle Jesenice;HEINRICHER;PAHOR;BERGANT;HOLZER</t>
  </si>
  <si>
    <t>Eishalle Zell am See;HEINRICHER;HUBER;EISL;SCHWEIGHOFER</t>
  </si>
  <si>
    <t>Eishalle Cortina;EGGER;OREL;BERGANT;PIRAS</t>
  </si>
  <si>
    <t>Eishalle Asiago;GIACOMOZZI;SORAPERRA;MANTOVANI;PIRAS</t>
  </si>
  <si>
    <t>Eishalle Gröden;BENVEGNU;GIACOMOZZI;FLEISCHMANN;MANTOVANI</t>
  </si>
  <si>
    <t>Klagenfurt Stadthalle;KUMMER;WIDMANN;ARLIC;SNOJ</t>
  </si>
  <si>
    <t>Eishalle Canazei;BENVEGNU;VIRTA;MANTOVANI;RIGONI</t>
  </si>
  <si>
    <t>Eishalle Meran;STEFENELLI;VIRTA;FLEISCHMANN;PACE</t>
  </si>
  <si>
    <t>Eishalle Wien Kagran;KUMMER;WUNTSCHEK;SCHONAKLENER;VOICAN</t>
  </si>
  <si>
    <t>Eishalle Cortina;BAJT;FAJDIGA;ARLIC;JAVORNIK</t>
  </si>
  <si>
    <t>Eishalle Zell am See;FAJDIGA;WUNTSCHEK;ARLIC;KAINBERGER</t>
  </si>
  <si>
    <t>sl</t>
  </si>
  <si>
    <t>au</t>
  </si>
  <si>
    <t>it</t>
  </si>
  <si>
    <t>vse delegirane tekme</t>
  </si>
  <si>
    <t>vse delegacije</t>
  </si>
  <si>
    <t>slo</t>
  </si>
  <si>
    <t>-</t>
  </si>
  <si>
    <t>No. Teams</t>
  </si>
  <si>
    <t>% per team</t>
  </si>
  <si>
    <t>Actual %</t>
  </si>
  <si>
    <t>Expected assignments</t>
  </si>
  <si>
    <t>Actual assignments</t>
  </si>
  <si>
    <t>Difference</t>
  </si>
  <si>
    <t>Difference in games</t>
  </si>
  <si>
    <t>Slo</t>
  </si>
  <si>
    <t>It</t>
  </si>
  <si>
    <t>Aut</t>
  </si>
  <si>
    <t>kotrola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</si>
</sst>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/>
      <right/>
      <top/>
      <bottom style="mediumDashed">
        <color rgb="FF00B050"/>
      </bottom>
      <diagonal/>
    </border>
    <border>
      <left/>
      <right/>
      <top style="medium">
        <color rgb="FFFF0000"/>
      </top>
      <bottom style="mediumDashed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6" xfId="0" applyFill="1" applyBorder="1"/>
    <xf numFmtId="0" fontId="0" fillId="2" borderId="0" xfId="0" applyFill="1"/>
    <xf numFmtId="0" fontId="0" fillId="2" borderId="7" xfId="0" applyFill="1" applyBorder="1"/>
    <xf numFmtId="0" fontId="0" fillId="0" borderId="7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0" fontId="1" fillId="6" borderId="0" xfId="0" applyFont="1" applyFill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4" borderId="17" xfId="0" applyFill="1" applyBorder="1"/>
    <xf numFmtId="0" fontId="0" fillId="4" borderId="17" xfId="0" applyFill="1" applyBorder="1" applyAlignment="1">
      <alignment horizontal="center"/>
    </xf>
    <xf numFmtId="10" fontId="0" fillId="4" borderId="18" xfId="0" applyNumberFormat="1" applyFill="1" applyBorder="1" applyAlignment="1">
      <alignment horizontal="center"/>
    </xf>
    <xf numFmtId="10" fontId="0" fillId="4" borderId="19" xfId="0" applyNumberFormat="1" applyFill="1" applyBorder="1"/>
    <xf numFmtId="1" fontId="0" fillId="8" borderId="17" xfId="0" applyNumberFormat="1" applyFill="1" applyBorder="1"/>
    <xf numFmtId="1" fontId="2" fillId="7" borderId="17" xfId="0" applyNumberFormat="1" applyFont="1" applyFill="1" applyBorder="1"/>
    <xf numFmtId="2" fontId="0" fillId="0" borderId="0" xfId="0" applyNumberFormat="1"/>
    <xf numFmtId="0" fontId="0" fillId="0" borderId="20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10" fontId="0" fillId="0" borderId="18" xfId="0" applyNumberFormat="1" applyBorder="1" applyAlignment="1">
      <alignment horizontal="center"/>
    </xf>
    <xf numFmtId="10" fontId="0" fillId="0" borderId="21" xfId="0" applyNumberFormat="1" applyBorder="1"/>
    <xf numFmtId="1" fontId="1" fillId="6" borderId="17" xfId="0" applyNumberFormat="1" applyFont="1" applyFill="1" applyBorder="1"/>
    <xf numFmtId="0" fontId="0" fillId="0" borderId="0" xfId="0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V73"/>
  <sheetViews>
    <sheetView zoomScaleNormal="100" workbookViewId="0">
      <selection activeCell="B26" sqref="B26"/>
    </sheetView>
  </sheetViews>
  <sheetFormatPr defaultRowHeight="14.45" customHeight="1" x14ac:dyDescent="0.25"/>
  <cols>
    <col min="1" max="1" width="10.5703125" customWidth="1"/>
    <col min="2" max="2" width="12.140625" customWidth="1"/>
    <col min="3" max="3" width="14.140625" customWidth="1"/>
    <col min="4" max="4" width="13" customWidth="1"/>
    <col min="5" max="5" width="12.5703125" customWidth="1"/>
    <col min="6" max="6" width="11.140625" customWidth="1"/>
    <col min="7" max="7" width="13.28515625" customWidth="1"/>
    <col min="8" max="8" width="14.140625" customWidth="1"/>
    <col min="9" max="9" width="10.7109375" customWidth="1"/>
    <col min="10" max="10" width="16.85546875" customWidth="1"/>
    <col min="11" max="11" width="11.7109375" customWidth="1"/>
    <col min="12" max="12" width="10.7109375" customWidth="1"/>
    <col min="13" max="13" width="10.140625" customWidth="1"/>
    <col min="14" max="14" width="14" customWidth="1"/>
    <col min="15" max="15" width="13.28515625" customWidth="1"/>
    <col min="16" max="16" width="11.140625" customWidth="1"/>
    <col min="17" max="17" width="11.85546875" customWidth="1"/>
    <col min="18" max="18" width="17.28515625" customWidth="1"/>
    <col min="19" max="19" width="11.7109375" customWidth="1"/>
    <col min="20" max="20" width="10.28515625" customWidth="1"/>
    <col min="21" max="21" width="14.5703125" customWidth="1"/>
    <col min="22" max="22" width="10.42578125" customWidth="1"/>
    <col min="23" max="23" width="11.28515625" customWidth="1"/>
    <col min="24" max="24" width="12" customWidth="1"/>
    <col min="25" max="25" width="15.140625" customWidth="1"/>
    <col min="26" max="26" width="11.42578125" customWidth="1"/>
    <col min="27" max="27" width="13.28515625" customWidth="1"/>
    <col min="28" max="28" width="10.5703125" customWidth="1"/>
    <col min="29" max="29" width="10.28515625" customWidth="1"/>
    <col min="30" max="30" width="13.5703125" customWidth="1"/>
    <col min="31" max="31" width="10.85546875" customWidth="1"/>
    <col min="32" max="32" width="12.7109375" customWidth="1"/>
    <col min="33" max="33" width="10.42578125" customWidth="1"/>
    <col min="34" max="34" width="13.42578125" customWidth="1"/>
    <col min="35" max="35" width="10.28515625" customWidth="1"/>
    <col min="36" max="36" width="18.42578125" customWidth="1"/>
    <col min="37" max="37" width="13.140625" customWidth="1"/>
    <col min="38" max="38" width="13.85546875" customWidth="1"/>
    <col min="39" max="39" width="12.42578125" customWidth="1"/>
    <col min="40" max="40" width="11.28515625" customWidth="1"/>
    <col min="41" max="41" width="12.5703125" customWidth="1"/>
    <col min="42" max="42" width="11.42578125" customWidth="1"/>
    <col min="43" max="43" width="11.7109375" customWidth="1"/>
    <col min="44" max="44" width="14.42578125" customWidth="1"/>
    <col min="45" max="45" width="12.5703125" customWidth="1"/>
    <col min="46" max="46" width="10" customWidth="1"/>
    <col min="47" max="47" width="11.85546875" customWidth="1"/>
    <col min="48" max="48" width="11.42578125" customWidth="1"/>
    <col min="49" max="49" width="11.28515625" customWidth="1"/>
    <col min="50" max="50" width="11.140625" customWidth="1"/>
    <col min="51" max="51" width="11" customWidth="1"/>
    <col min="52" max="52" width="13.28515625" customWidth="1"/>
    <col min="53" max="53" width="4.140625" customWidth="1"/>
    <col min="54" max="54" width="5.42578125" customWidth="1"/>
    <col min="55" max="55" width="10.7109375" customWidth="1"/>
    <col min="56" max="56" width="10.140625" customWidth="1"/>
    <col min="57" max="57" width="11.7109375" customWidth="1"/>
    <col min="58" max="58" width="14.28515625" customWidth="1"/>
    <col min="59" max="59" width="10.28515625" customWidth="1"/>
    <col min="60" max="60" width="11" customWidth="1"/>
    <col min="61" max="61" width="11.7109375" customWidth="1"/>
    <col min="62" max="62" width="11.42578125" customWidth="1"/>
    <col min="63" max="63" width="14.140625" customWidth="1"/>
    <col min="64" max="64" width="18.140625" customWidth="1"/>
    <col min="65" max="65" width="10.140625" customWidth="1"/>
    <col min="66" max="66" width="11.85546875" customWidth="1"/>
    <col min="68" max="68" width="14.5703125" customWidth="1"/>
    <col min="72" max="72" width="12.5703125" customWidth="1"/>
  </cols>
  <sheetData>
    <row r="2" spans="1:74" ht="14.45" customHeight="1" x14ac:dyDescent="0.25">
      <c r="A2">
        <f>COUNTIF(A4:A47,"&lt;&gt;")</f>
        <v>17</v>
      </c>
      <c r="B2">
        <f>COUNTIF(B4:B47,"&lt;&gt;")</f>
        <v>7</v>
      </c>
      <c r="C2">
        <f>COUNTIF(C4:C50,"&lt;&gt;")</f>
        <v>20</v>
      </c>
      <c r="D2">
        <f>COUNTIF(D4:D49,"&lt;&gt;")</f>
        <v>31</v>
      </c>
      <c r="E2">
        <f>COUNTIF(E4:E51,"&lt;&gt;")</f>
        <v>16</v>
      </c>
      <c r="F2">
        <f>COUNTIF(F4:F51,"&lt;&gt;")</f>
        <v>15</v>
      </c>
      <c r="G2">
        <f>COUNTIF(G4:G46,"&lt;&gt;")</f>
        <v>25</v>
      </c>
      <c r="H2">
        <f>COUNTIF(H4:H45,"&lt;&gt;")</f>
        <v>20</v>
      </c>
      <c r="I2">
        <f>COUNTIF(I4:I54,"&lt;&gt;")</f>
        <v>29</v>
      </c>
      <c r="J2">
        <f t="shared" ref="J2:BN2" si="0">COUNTIF(J4:J55,"&lt;&gt;")</f>
        <v>14</v>
      </c>
      <c r="K2">
        <f>COUNTIF(K4:K53,"&lt;&gt;")</f>
        <v>25</v>
      </c>
      <c r="L2">
        <f>COUNTIF(L4:L53,"&lt;&gt;")</f>
        <v>32</v>
      </c>
      <c r="M2">
        <f>COUNTIF(M4:M53,"&lt;&gt;")</f>
        <v>43</v>
      </c>
      <c r="N2">
        <f>COUNTIF(N4:N53,"&lt;&gt;")</f>
        <v>22</v>
      </c>
      <c r="O2">
        <f>COUNTIF(O4:O54,"&lt;&gt;")</f>
        <v>38</v>
      </c>
      <c r="P2">
        <f>COUNTIF(P4:P49,"&lt;&gt;")</f>
        <v>34</v>
      </c>
      <c r="Q2">
        <f>COUNTIF(Q4:Q52,"&lt;&gt;")</f>
        <v>35</v>
      </c>
      <c r="R2">
        <f>COUNTIF(R4:R54,"&lt;&gt;")</f>
        <v>27</v>
      </c>
      <c r="S2">
        <f>COUNTIF(S4:S50,"&lt;&gt;")</f>
        <v>41</v>
      </c>
      <c r="T2">
        <f>COUNTIF(T4:T54,"&lt;&gt;")</f>
        <v>21</v>
      </c>
      <c r="U2">
        <f t="shared" si="0"/>
        <v>31</v>
      </c>
      <c r="V2">
        <f>COUNTIF(V4:V54,"&lt;&gt;")</f>
        <v>35</v>
      </c>
      <c r="W2">
        <f>COUNTIF(W4:W54,"&lt;&gt;")</f>
        <v>21</v>
      </c>
      <c r="X2">
        <f>COUNTIF(X4:X53,"&lt;&gt;")</f>
        <v>22</v>
      </c>
      <c r="Y2">
        <f t="shared" si="0"/>
        <v>10</v>
      </c>
      <c r="Z2">
        <f>COUNTIF(Z4:Z53,"&lt;&gt;")</f>
        <v>8</v>
      </c>
      <c r="AA2">
        <f>COUNTIF(AA4:AA53,"&lt;&gt;")</f>
        <v>31</v>
      </c>
      <c r="AB2">
        <f>COUNTIF(AB4:AB54,"&lt;&gt;")</f>
        <v>19</v>
      </c>
      <c r="AC2">
        <f>COUNTIF(AC4:AC52,"&lt;&gt;")</f>
        <v>17</v>
      </c>
      <c r="AD2">
        <f t="shared" si="0"/>
        <v>23</v>
      </c>
      <c r="AE2">
        <f>COUNTIF(AE4:AE53,"&lt;&gt;")</f>
        <v>16</v>
      </c>
      <c r="AF2">
        <f>COUNTIF(AF4:AF47,"&lt;&gt;")</f>
        <v>44</v>
      </c>
      <c r="AG2">
        <f>COUNTIF(AG4:AG54,"&lt;&gt;")</f>
        <v>19</v>
      </c>
      <c r="AH2">
        <f>COUNTIF(AH4:AH53,"&lt;&gt;")</f>
        <v>16</v>
      </c>
      <c r="AI2">
        <f>COUNTIF(AI4:AI54,"&lt;&gt;")</f>
        <v>21</v>
      </c>
      <c r="AJ2">
        <f>COUNTIF(AJ4:AJ54,"&lt;&gt;")</f>
        <v>12</v>
      </c>
      <c r="AK2">
        <f t="shared" si="0"/>
        <v>19</v>
      </c>
      <c r="AL2">
        <f t="shared" si="0"/>
        <v>21</v>
      </c>
      <c r="AM2">
        <f t="shared" si="0"/>
        <v>21</v>
      </c>
      <c r="AN2">
        <f t="shared" si="0"/>
        <v>25</v>
      </c>
      <c r="AO2">
        <f>COUNTIF(AO4:AO54,"&lt;&gt;")</f>
        <v>10</v>
      </c>
      <c r="AP2">
        <f t="shared" si="0"/>
        <v>27</v>
      </c>
      <c r="AQ2">
        <f t="shared" si="0"/>
        <v>23</v>
      </c>
      <c r="AR2">
        <f>COUNTIF(AR4:AR53,"&lt;&gt;")</f>
        <v>29</v>
      </c>
      <c r="AS2">
        <f>COUNTIF(AS4:AS54,"&lt;&gt;")</f>
        <v>24</v>
      </c>
      <c r="AT2">
        <f t="shared" si="0"/>
        <v>24</v>
      </c>
      <c r="AU2">
        <f t="shared" si="0"/>
        <v>31</v>
      </c>
      <c r="AV2">
        <f t="shared" si="0"/>
        <v>25</v>
      </c>
      <c r="AW2">
        <f>COUNTIF(AW4:AW53,"&lt;&gt;")</f>
        <v>25</v>
      </c>
      <c r="AX2">
        <f t="shared" si="0"/>
        <v>24</v>
      </c>
      <c r="AY2">
        <f t="shared" si="0"/>
        <v>22</v>
      </c>
      <c r="AZ2">
        <f t="shared" si="0"/>
        <v>22</v>
      </c>
      <c r="BA2">
        <f t="shared" si="0"/>
        <v>4</v>
      </c>
      <c r="BB2">
        <f t="shared" si="0"/>
        <v>23</v>
      </c>
      <c r="BC2">
        <f t="shared" si="0"/>
        <v>24</v>
      </c>
      <c r="BD2">
        <f t="shared" si="0"/>
        <v>20</v>
      </c>
      <c r="BE2">
        <f t="shared" si="0"/>
        <v>17</v>
      </c>
      <c r="BF2">
        <f t="shared" si="0"/>
        <v>18</v>
      </c>
      <c r="BG2">
        <f>COUNTIF(BG4:BG54,"&lt;&gt;")</f>
        <v>21</v>
      </c>
      <c r="BH2">
        <f t="shared" si="0"/>
        <v>21</v>
      </c>
      <c r="BI2">
        <f t="shared" si="0"/>
        <v>18</v>
      </c>
      <c r="BJ2">
        <f t="shared" si="0"/>
        <v>2</v>
      </c>
      <c r="BK2">
        <f t="shared" si="0"/>
        <v>21</v>
      </c>
      <c r="BL2">
        <f>COUNTIF(BL4:BL54,"&lt;&gt;")</f>
        <v>18</v>
      </c>
      <c r="BM2">
        <f>COUNTIF(BM4:BM54,"&lt;&gt;")</f>
        <v>24</v>
      </c>
      <c r="BN2">
        <f t="shared" si="0"/>
        <v>17</v>
      </c>
      <c r="BO2">
        <f t="shared" ref="BO2:BY2" si="1">COUNTIF(BO4:BO55,"&lt;&gt;")</f>
        <v>2</v>
      </c>
      <c r="BP2">
        <f t="shared" si="1"/>
        <v>5</v>
      </c>
      <c r="BQ2">
        <f t="shared" si="1"/>
        <v>7</v>
      </c>
      <c r="BR2">
        <f t="shared" si="1"/>
        <v>3</v>
      </c>
      <c r="BS2">
        <f t="shared" si="1"/>
        <v>1</v>
      </c>
      <c r="BT2">
        <f t="shared" si="1"/>
        <v>1</v>
      </c>
      <c r="BU2">
        <f t="shared" si="1"/>
        <v>1</v>
      </c>
      <c r="BV2">
        <f t="shared" si="1"/>
        <v>1</v>
      </c>
    </row>
    <row r="3" spans="1:74" ht="15" customHeight="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</row>
    <row r="4" spans="1:74" ht="15" customHeight="1" x14ac:dyDescent="0.25">
      <c r="A4" t="s">
        <v>74</v>
      </c>
      <c r="B4" t="s">
        <v>75</v>
      </c>
      <c r="C4" t="s">
        <v>75</v>
      </c>
      <c r="D4" t="s">
        <v>76</v>
      </c>
      <c r="E4" t="s">
        <v>77</v>
      </c>
      <c r="F4" t="s">
        <v>74</v>
      </c>
      <c r="G4" t="s">
        <v>74</v>
      </c>
      <c r="H4" t="s">
        <v>77</v>
      </c>
      <c r="I4" t="s">
        <v>74</v>
      </c>
      <c r="J4" t="s">
        <v>75</v>
      </c>
      <c r="K4" t="s">
        <v>76</v>
      </c>
      <c r="L4" t="s">
        <v>76</v>
      </c>
      <c r="M4" t="s">
        <v>78</v>
      </c>
      <c r="N4" t="s">
        <v>79</v>
      </c>
      <c r="O4" t="s">
        <v>74</v>
      </c>
      <c r="P4" t="s">
        <v>78</v>
      </c>
      <c r="Q4" t="s">
        <v>74</v>
      </c>
      <c r="R4" t="s">
        <v>74</v>
      </c>
      <c r="S4" t="s">
        <v>74</v>
      </c>
      <c r="T4" t="s">
        <v>74</v>
      </c>
      <c r="U4" t="s">
        <v>74</v>
      </c>
      <c r="V4" t="s">
        <v>74</v>
      </c>
      <c r="W4" t="s">
        <v>75</v>
      </c>
      <c r="X4" t="s">
        <v>76</v>
      </c>
      <c r="Y4" t="s">
        <v>75</v>
      </c>
      <c r="Z4" t="s">
        <v>76</v>
      </c>
      <c r="AA4" t="s">
        <v>74</v>
      </c>
      <c r="AB4" t="s">
        <v>77</v>
      </c>
      <c r="AC4" t="s">
        <v>77</v>
      </c>
      <c r="AD4" t="s">
        <v>76</v>
      </c>
      <c r="AE4" t="s">
        <v>80</v>
      </c>
      <c r="AF4" t="s">
        <v>74</v>
      </c>
      <c r="AG4" t="s">
        <v>81</v>
      </c>
      <c r="AH4" t="s">
        <v>77</v>
      </c>
      <c r="AI4" t="s">
        <v>74</v>
      </c>
      <c r="AJ4" t="s">
        <v>77</v>
      </c>
      <c r="AK4" t="s">
        <v>74</v>
      </c>
      <c r="AL4" t="s">
        <v>82</v>
      </c>
      <c r="AM4" t="s">
        <v>83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 t="s">
        <v>74</v>
      </c>
      <c r="AV4" t="s">
        <v>74</v>
      </c>
      <c r="AW4" t="s">
        <v>74</v>
      </c>
      <c r="AX4" t="s">
        <v>74</v>
      </c>
      <c r="AY4" t="s">
        <v>74</v>
      </c>
      <c r="AZ4" t="s">
        <v>74</v>
      </c>
      <c r="BA4" t="s">
        <v>78</v>
      </c>
      <c r="BB4" t="s">
        <v>78</v>
      </c>
      <c r="BC4" t="s">
        <v>75</v>
      </c>
      <c r="BD4" t="s">
        <v>78</v>
      </c>
      <c r="BE4" t="s">
        <v>76</v>
      </c>
      <c r="BF4" t="s">
        <v>75</v>
      </c>
      <c r="BG4" t="s">
        <v>75</v>
      </c>
      <c r="BH4" t="s">
        <v>77</v>
      </c>
      <c r="BI4" t="s">
        <v>77</v>
      </c>
      <c r="BJ4" t="s">
        <v>77</v>
      </c>
      <c r="BK4" t="s">
        <v>77</v>
      </c>
      <c r="BL4" t="s">
        <v>80</v>
      </c>
      <c r="BM4" t="s">
        <v>81</v>
      </c>
      <c r="BN4" t="s">
        <v>84</v>
      </c>
      <c r="BO4" t="s">
        <v>85</v>
      </c>
      <c r="BP4" t="s">
        <v>86</v>
      </c>
      <c r="BQ4" t="s">
        <v>87</v>
      </c>
      <c r="BR4" t="s">
        <v>88</v>
      </c>
      <c r="BS4" s="1" t="s">
        <v>87</v>
      </c>
      <c r="BT4" s="1" t="s">
        <v>89</v>
      </c>
      <c r="BU4" s="1" t="s">
        <v>90</v>
      </c>
      <c r="BV4" s="1" t="s">
        <v>91</v>
      </c>
    </row>
    <row r="5" spans="1:74" ht="15" customHeight="1" x14ac:dyDescent="0.25">
      <c r="A5" t="s">
        <v>75</v>
      </c>
      <c r="B5" t="s">
        <v>83</v>
      </c>
      <c r="C5" t="s">
        <v>83</v>
      </c>
      <c r="D5" t="s">
        <v>75</v>
      </c>
      <c r="E5" t="s">
        <v>81</v>
      </c>
      <c r="F5" t="s">
        <v>75</v>
      </c>
      <c r="G5" t="s">
        <v>76</v>
      </c>
      <c r="H5" t="s">
        <v>93</v>
      </c>
      <c r="I5" t="s">
        <v>75</v>
      </c>
      <c r="J5" t="s">
        <v>81</v>
      </c>
      <c r="K5" t="s">
        <v>75</v>
      </c>
      <c r="L5" t="s">
        <v>75</v>
      </c>
      <c r="M5" t="s">
        <v>76</v>
      </c>
      <c r="N5" t="s">
        <v>84</v>
      </c>
      <c r="O5" t="s">
        <v>76</v>
      </c>
      <c r="P5" t="s">
        <v>75</v>
      </c>
      <c r="Q5" t="s">
        <v>76</v>
      </c>
      <c r="R5" t="s">
        <v>75</v>
      </c>
      <c r="S5" t="s">
        <v>75</v>
      </c>
      <c r="T5" t="s">
        <v>75</v>
      </c>
      <c r="U5" t="s">
        <v>76</v>
      </c>
      <c r="V5" t="s">
        <v>75</v>
      </c>
      <c r="W5" t="s">
        <v>77</v>
      </c>
      <c r="X5" t="s">
        <v>75</v>
      </c>
      <c r="Y5" t="s">
        <v>74</v>
      </c>
      <c r="Z5" t="s">
        <v>75</v>
      </c>
      <c r="AA5" t="s">
        <v>76</v>
      </c>
      <c r="AB5" t="s">
        <v>79</v>
      </c>
      <c r="AC5" t="s">
        <v>79</v>
      </c>
      <c r="AD5" t="s">
        <v>81</v>
      </c>
      <c r="AE5" t="s">
        <v>83</v>
      </c>
      <c r="AF5" t="s">
        <v>78</v>
      </c>
      <c r="AG5" t="s">
        <v>94</v>
      </c>
      <c r="AH5" t="s">
        <v>79</v>
      </c>
      <c r="AI5" t="s">
        <v>84</v>
      </c>
      <c r="AJ5" t="s">
        <v>83</v>
      </c>
      <c r="AK5" t="s">
        <v>82</v>
      </c>
      <c r="AL5" t="s">
        <v>94</v>
      </c>
      <c r="AM5" t="s">
        <v>82</v>
      </c>
      <c r="AN5" t="s">
        <v>75</v>
      </c>
      <c r="AO5" t="s">
        <v>75</v>
      </c>
      <c r="AP5" t="s">
        <v>75</v>
      </c>
      <c r="AQ5" t="s">
        <v>74</v>
      </c>
      <c r="AR5" t="s">
        <v>76</v>
      </c>
      <c r="AS5" t="s">
        <v>76</v>
      </c>
      <c r="AT5" t="s">
        <v>84</v>
      </c>
      <c r="AU5" t="s">
        <v>78</v>
      </c>
      <c r="AV5" t="s">
        <v>76</v>
      </c>
      <c r="AW5" t="s">
        <v>77</v>
      </c>
      <c r="AX5" t="s">
        <v>78</v>
      </c>
      <c r="AY5" t="s">
        <v>78</v>
      </c>
      <c r="AZ5" t="s">
        <v>75</v>
      </c>
      <c r="BA5" t="s">
        <v>85</v>
      </c>
      <c r="BB5" t="s">
        <v>76</v>
      </c>
      <c r="BC5" t="s">
        <v>78</v>
      </c>
      <c r="BD5" t="s">
        <v>79</v>
      </c>
      <c r="BE5" t="s">
        <v>80</v>
      </c>
      <c r="BF5" t="s">
        <v>83</v>
      </c>
      <c r="BG5" t="s">
        <v>83</v>
      </c>
      <c r="BH5" t="s">
        <v>79</v>
      </c>
      <c r="BI5" t="s">
        <v>95</v>
      </c>
      <c r="BJ5" s="2" t="s">
        <v>94</v>
      </c>
      <c r="BK5" t="s">
        <v>79</v>
      </c>
      <c r="BL5" t="s">
        <v>83</v>
      </c>
      <c r="BM5" t="s">
        <v>96</v>
      </c>
      <c r="BN5" t="s">
        <v>85</v>
      </c>
      <c r="BO5" s="2" t="s">
        <v>97</v>
      </c>
      <c r="BP5" t="s">
        <v>98</v>
      </c>
      <c r="BQ5" t="s">
        <v>99</v>
      </c>
      <c r="BR5" s="1" t="s">
        <v>91</v>
      </c>
    </row>
    <row r="6" spans="1:74" ht="15" customHeight="1" x14ac:dyDescent="0.25">
      <c r="A6" t="s">
        <v>83</v>
      </c>
      <c r="B6" t="s">
        <v>94</v>
      </c>
      <c r="C6" t="s">
        <v>94</v>
      </c>
      <c r="D6" t="s">
        <v>74</v>
      </c>
      <c r="E6" t="s">
        <v>85</v>
      </c>
      <c r="F6" t="s">
        <v>81</v>
      </c>
      <c r="G6" t="s">
        <v>75</v>
      </c>
      <c r="H6" t="s">
        <v>85</v>
      </c>
      <c r="I6" t="s">
        <v>83</v>
      </c>
      <c r="J6" t="s">
        <v>100</v>
      </c>
      <c r="K6" t="s">
        <v>83</v>
      </c>
      <c r="L6" t="s">
        <v>77</v>
      </c>
      <c r="M6" t="s">
        <v>75</v>
      </c>
      <c r="N6" t="s">
        <v>101</v>
      </c>
      <c r="O6" t="s">
        <v>75</v>
      </c>
      <c r="P6" t="s">
        <v>77</v>
      </c>
      <c r="Q6" t="s">
        <v>83</v>
      </c>
      <c r="R6" t="s">
        <v>74</v>
      </c>
      <c r="S6" t="s">
        <v>77</v>
      </c>
      <c r="T6" t="s">
        <v>94</v>
      </c>
      <c r="U6" t="s">
        <v>80</v>
      </c>
      <c r="V6" t="s">
        <v>77</v>
      </c>
      <c r="W6" t="s">
        <v>102</v>
      </c>
      <c r="X6" t="s">
        <v>83</v>
      </c>
      <c r="Y6" t="s">
        <v>97</v>
      </c>
      <c r="Z6" t="s">
        <v>85</v>
      </c>
      <c r="AA6" t="s">
        <v>75</v>
      </c>
      <c r="AB6" t="s">
        <v>94</v>
      </c>
      <c r="AC6" t="s">
        <v>94</v>
      </c>
      <c r="AD6" t="s">
        <v>94</v>
      </c>
      <c r="AE6" t="s">
        <v>103</v>
      </c>
      <c r="AF6" t="s">
        <v>75</v>
      </c>
      <c r="AG6" t="s">
        <v>85</v>
      </c>
      <c r="AH6" t="s">
        <v>85</v>
      </c>
      <c r="AI6" t="s">
        <v>86</v>
      </c>
      <c r="AJ6" t="s">
        <v>94</v>
      </c>
      <c r="AK6" t="s">
        <v>94</v>
      </c>
      <c r="AL6" t="s">
        <v>86</v>
      </c>
      <c r="AM6" t="s">
        <v>94</v>
      </c>
      <c r="AN6" t="s">
        <v>77</v>
      </c>
      <c r="AO6" t="s">
        <v>77</v>
      </c>
      <c r="AP6" t="s">
        <v>79</v>
      </c>
      <c r="AQ6" t="s">
        <v>77</v>
      </c>
      <c r="AR6" t="s">
        <v>74</v>
      </c>
      <c r="AS6" t="s">
        <v>81</v>
      </c>
      <c r="AT6" t="s">
        <v>101</v>
      </c>
      <c r="AU6" t="s">
        <v>75</v>
      </c>
      <c r="AV6" t="s">
        <v>81</v>
      </c>
      <c r="AW6" t="s">
        <v>81</v>
      </c>
      <c r="AX6" t="s">
        <v>83</v>
      </c>
      <c r="AY6" t="s">
        <v>77</v>
      </c>
      <c r="AZ6" t="s">
        <v>94</v>
      </c>
      <c r="BA6" t="s">
        <v>77</v>
      </c>
      <c r="BB6" t="s">
        <v>75</v>
      </c>
      <c r="BC6" t="s">
        <v>77</v>
      </c>
      <c r="BD6" t="s">
        <v>86</v>
      </c>
      <c r="BE6" t="s">
        <v>83</v>
      </c>
      <c r="BF6" t="s">
        <v>94</v>
      </c>
      <c r="BG6" t="s">
        <v>94</v>
      </c>
      <c r="BH6" t="s">
        <v>84</v>
      </c>
      <c r="BI6" t="s">
        <v>104</v>
      </c>
      <c r="BK6" t="s">
        <v>86</v>
      </c>
      <c r="BL6" t="s">
        <v>84</v>
      </c>
      <c r="BM6" t="s">
        <v>97</v>
      </c>
      <c r="BN6" t="s">
        <v>86</v>
      </c>
      <c r="BP6" t="s">
        <v>105</v>
      </c>
      <c r="BQ6" t="s">
        <v>106</v>
      </c>
      <c r="BR6" s="3" t="s">
        <v>107</v>
      </c>
    </row>
    <row r="7" spans="1:74" ht="15" customHeight="1" x14ac:dyDescent="0.25">
      <c r="A7" t="s">
        <v>94</v>
      </c>
      <c r="B7" t="s">
        <v>86</v>
      </c>
      <c r="C7" t="s">
        <v>74</v>
      </c>
      <c r="D7" t="s">
        <v>93</v>
      </c>
      <c r="E7" t="s">
        <v>108</v>
      </c>
      <c r="F7" t="s">
        <v>85</v>
      </c>
      <c r="G7" t="s">
        <v>83</v>
      </c>
      <c r="H7" t="s">
        <v>108</v>
      </c>
      <c r="I7" t="s">
        <v>81</v>
      </c>
      <c r="J7" t="s">
        <v>101</v>
      </c>
      <c r="K7" t="s">
        <v>79</v>
      </c>
      <c r="L7" t="s">
        <v>94</v>
      </c>
      <c r="M7" t="s">
        <v>77</v>
      </c>
      <c r="N7" t="s">
        <v>109</v>
      </c>
      <c r="O7" t="s">
        <v>74</v>
      </c>
      <c r="P7" t="s">
        <v>83</v>
      </c>
      <c r="Q7" t="s">
        <v>94</v>
      </c>
      <c r="R7" t="s">
        <v>77</v>
      </c>
      <c r="S7" t="s">
        <v>81</v>
      </c>
      <c r="T7" t="s">
        <v>110</v>
      </c>
      <c r="U7" t="s">
        <v>83</v>
      </c>
      <c r="V7" t="s">
        <v>94</v>
      </c>
      <c r="W7" t="s">
        <v>111</v>
      </c>
      <c r="X7" t="s">
        <v>94</v>
      </c>
      <c r="Y7" t="s">
        <v>111</v>
      </c>
      <c r="Z7" t="s">
        <v>101</v>
      </c>
      <c r="AA7" t="s">
        <v>77</v>
      </c>
      <c r="AB7" t="s">
        <v>74</v>
      </c>
      <c r="AC7" t="s">
        <v>86</v>
      </c>
      <c r="AD7" t="s">
        <v>84</v>
      </c>
      <c r="AE7" t="s">
        <v>96</v>
      </c>
      <c r="AF7" t="s">
        <v>77</v>
      </c>
      <c r="AG7" t="s">
        <v>112</v>
      </c>
      <c r="AH7" t="s">
        <v>103</v>
      </c>
      <c r="AI7" t="s">
        <v>101</v>
      </c>
      <c r="AJ7" t="s">
        <v>84</v>
      </c>
      <c r="AK7" t="s">
        <v>113</v>
      </c>
      <c r="AL7" t="s">
        <v>112</v>
      </c>
      <c r="AM7" t="s">
        <v>113</v>
      </c>
      <c r="AN7" t="s">
        <v>83</v>
      </c>
      <c r="AO7" t="s">
        <v>94</v>
      </c>
      <c r="AP7" t="s">
        <v>85</v>
      </c>
      <c r="AQ7" t="s">
        <v>76</v>
      </c>
      <c r="AR7" t="s">
        <v>81</v>
      </c>
      <c r="AS7" t="s">
        <v>100</v>
      </c>
      <c r="AT7" t="s">
        <v>109</v>
      </c>
      <c r="AU7" t="s">
        <v>76</v>
      </c>
      <c r="AV7" t="s">
        <v>84</v>
      </c>
      <c r="AW7" t="s">
        <v>114</v>
      </c>
      <c r="AX7" t="s">
        <v>79</v>
      </c>
      <c r="AY7" t="s">
        <v>114</v>
      </c>
      <c r="AZ7" t="s">
        <v>115</v>
      </c>
      <c r="BA7" s="2" t="s">
        <v>84</v>
      </c>
      <c r="BB7" t="s">
        <v>94</v>
      </c>
      <c r="BC7" t="s">
        <v>83</v>
      </c>
      <c r="BD7" t="s">
        <v>112</v>
      </c>
      <c r="BE7" t="s">
        <v>85</v>
      </c>
      <c r="BF7" t="s">
        <v>85</v>
      </c>
      <c r="BG7" t="s">
        <v>74</v>
      </c>
      <c r="BH7" t="s">
        <v>86</v>
      </c>
      <c r="BI7" t="s">
        <v>116</v>
      </c>
      <c r="BK7" t="s">
        <v>101</v>
      </c>
      <c r="BL7" t="s">
        <v>101</v>
      </c>
      <c r="BM7" t="s">
        <v>104</v>
      </c>
      <c r="BN7" t="s">
        <v>103</v>
      </c>
      <c r="BP7" t="s">
        <v>117</v>
      </c>
      <c r="BQ7" t="s">
        <v>118</v>
      </c>
    </row>
    <row r="8" spans="1:74" ht="15" customHeight="1" x14ac:dyDescent="0.25">
      <c r="A8" t="s">
        <v>85</v>
      </c>
      <c r="B8" s="4" t="s">
        <v>97</v>
      </c>
      <c r="C8" t="s">
        <v>100</v>
      </c>
      <c r="D8" t="s">
        <v>85</v>
      </c>
      <c r="E8" s="4" t="s">
        <v>119</v>
      </c>
      <c r="F8" t="s">
        <v>101</v>
      </c>
      <c r="G8" t="s">
        <v>82</v>
      </c>
      <c r="H8" t="s">
        <v>96</v>
      </c>
      <c r="I8" t="s">
        <v>86</v>
      </c>
      <c r="J8" t="s">
        <v>108</v>
      </c>
      <c r="K8" t="s">
        <v>84</v>
      </c>
      <c r="L8" t="s">
        <v>74</v>
      </c>
      <c r="M8" t="s">
        <v>83</v>
      </c>
      <c r="N8" t="s">
        <v>120</v>
      </c>
      <c r="O8" t="s">
        <v>83</v>
      </c>
      <c r="P8" t="s">
        <v>94</v>
      </c>
      <c r="Q8" t="s">
        <v>77</v>
      </c>
      <c r="R8" t="s">
        <v>79</v>
      </c>
      <c r="S8" t="s">
        <v>76</v>
      </c>
      <c r="T8" t="s">
        <v>85</v>
      </c>
      <c r="U8" t="s">
        <v>94</v>
      </c>
      <c r="V8" t="s">
        <v>78</v>
      </c>
      <c r="W8" t="s">
        <v>116</v>
      </c>
      <c r="X8" t="s">
        <v>84</v>
      </c>
      <c r="Y8" t="s">
        <v>116</v>
      </c>
      <c r="Z8" t="s">
        <v>103</v>
      </c>
      <c r="AA8" t="s">
        <v>83</v>
      </c>
      <c r="AB8" t="s">
        <v>86</v>
      </c>
      <c r="AC8" t="s">
        <v>103</v>
      </c>
      <c r="AD8" t="s">
        <v>101</v>
      </c>
      <c r="AE8" t="s">
        <v>97</v>
      </c>
      <c r="AF8" t="s">
        <v>77</v>
      </c>
      <c r="AG8" t="s">
        <v>96</v>
      </c>
      <c r="AH8" t="s">
        <v>104</v>
      </c>
      <c r="AI8" t="s">
        <v>109</v>
      </c>
      <c r="AJ8" t="s">
        <v>121</v>
      </c>
      <c r="AK8" t="s">
        <v>95</v>
      </c>
      <c r="AL8" t="s">
        <v>96</v>
      </c>
      <c r="AM8" t="s">
        <v>95</v>
      </c>
      <c r="AN8" t="s">
        <v>94</v>
      </c>
      <c r="AO8" t="s">
        <v>110</v>
      </c>
      <c r="AP8" t="s">
        <v>115</v>
      </c>
      <c r="AQ8" t="s">
        <v>79</v>
      </c>
      <c r="AR8" t="s">
        <v>94</v>
      </c>
      <c r="AS8" t="s">
        <v>112</v>
      </c>
      <c r="AT8" t="s">
        <v>103</v>
      </c>
      <c r="AU8" t="s">
        <v>83</v>
      </c>
      <c r="AV8" t="s">
        <v>101</v>
      </c>
      <c r="AW8" t="s">
        <v>84</v>
      </c>
      <c r="AX8" t="s">
        <v>84</v>
      </c>
      <c r="AY8" t="s">
        <v>84</v>
      </c>
      <c r="AZ8" t="s">
        <v>113</v>
      </c>
      <c r="BB8" t="s">
        <v>114</v>
      </c>
      <c r="BC8" t="s">
        <v>79</v>
      </c>
      <c r="BD8" t="s">
        <v>96</v>
      </c>
      <c r="BE8" t="s">
        <v>101</v>
      </c>
      <c r="BF8" t="s">
        <v>101</v>
      </c>
      <c r="BG8" t="s">
        <v>85</v>
      </c>
      <c r="BH8" t="s">
        <v>109</v>
      </c>
      <c r="BI8" t="s">
        <v>122</v>
      </c>
      <c r="BK8" t="s">
        <v>97</v>
      </c>
      <c r="BL8" t="s">
        <v>86</v>
      </c>
      <c r="BM8" t="s">
        <v>111</v>
      </c>
      <c r="BN8" t="s">
        <v>102</v>
      </c>
      <c r="BP8" s="2" t="s">
        <v>91</v>
      </c>
      <c r="BQ8" s="5" t="s">
        <v>123</v>
      </c>
    </row>
    <row r="9" spans="1:74" ht="15" customHeight="1" x14ac:dyDescent="0.25">
      <c r="A9" t="s">
        <v>101</v>
      </c>
      <c r="B9" t="s">
        <v>124</v>
      </c>
      <c r="C9" t="s">
        <v>108</v>
      </c>
      <c r="D9" t="s">
        <v>86</v>
      </c>
      <c r="E9" t="s">
        <v>98</v>
      </c>
      <c r="F9" s="4" t="s">
        <v>97</v>
      </c>
      <c r="G9" t="s">
        <v>93</v>
      </c>
      <c r="H9" t="s">
        <v>97</v>
      </c>
      <c r="I9" t="s">
        <v>96</v>
      </c>
      <c r="J9" s="4" t="s">
        <v>119</v>
      </c>
      <c r="K9" t="s">
        <v>86</v>
      </c>
      <c r="L9" t="s">
        <v>115</v>
      </c>
      <c r="M9" t="s">
        <v>94</v>
      </c>
      <c r="N9" t="s">
        <v>111</v>
      </c>
      <c r="O9" t="s">
        <v>94</v>
      </c>
      <c r="P9" t="s">
        <v>112</v>
      </c>
      <c r="Q9" t="s">
        <v>84</v>
      </c>
      <c r="R9" t="s">
        <v>84</v>
      </c>
      <c r="S9" t="s">
        <v>112</v>
      </c>
      <c r="T9" t="s">
        <v>112</v>
      </c>
      <c r="U9" t="s">
        <v>100</v>
      </c>
      <c r="V9" t="s">
        <v>84</v>
      </c>
      <c r="W9" t="s">
        <v>105</v>
      </c>
      <c r="X9" t="s">
        <v>85</v>
      </c>
      <c r="Y9" s="6" t="s">
        <v>125</v>
      </c>
      <c r="Z9" t="s">
        <v>111</v>
      </c>
      <c r="AA9" t="s">
        <v>78</v>
      </c>
      <c r="AB9" t="s">
        <v>121</v>
      </c>
      <c r="AC9" t="s">
        <v>120</v>
      </c>
      <c r="AD9" t="s">
        <v>103</v>
      </c>
      <c r="AE9" t="s">
        <v>111</v>
      </c>
      <c r="AF9" t="s">
        <v>79</v>
      </c>
      <c r="AG9" t="s">
        <v>104</v>
      </c>
      <c r="AH9" t="s">
        <v>111</v>
      </c>
      <c r="AI9" t="s">
        <v>112</v>
      </c>
      <c r="AJ9" t="s">
        <v>97</v>
      </c>
      <c r="AK9" t="s">
        <v>120</v>
      </c>
      <c r="AL9" t="s">
        <v>116</v>
      </c>
      <c r="AM9" t="s">
        <v>120</v>
      </c>
      <c r="AN9" t="s">
        <v>110</v>
      </c>
      <c r="AO9" t="s">
        <v>103</v>
      </c>
      <c r="AP9" t="s">
        <v>101</v>
      </c>
      <c r="AQ9" t="s">
        <v>93</v>
      </c>
      <c r="AR9" t="s">
        <v>112</v>
      </c>
      <c r="AS9" t="s">
        <v>103</v>
      </c>
      <c r="AT9" t="s">
        <v>120</v>
      </c>
      <c r="AU9" t="s">
        <v>79</v>
      </c>
      <c r="AV9" t="s">
        <v>104</v>
      </c>
      <c r="AW9" t="s">
        <v>86</v>
      </c>
      <c r="AX9" t="s">
        <v>119</v>
      </c>
      <c r="AY9" t="s">
        <v>86</v>
      </c>
      <c r="AZ9" t="s">
        <v>112</v>
      </c>
      <c r="BB9" t="s">
        <v>84</v>
      </c>
      <c r="BC9" t="s">
        <v>84</v>
      </c>
      <c r="BD9" t="s">
        <v>104</v>
      </c>
      <c r="BE9" t="s">
        <v>96</v>
      </c>
      <c r="BF9" t="s">
        <v>112</v>
      </c>
      <c r="BG9" t="s">
        <v>109</v>
      </c>
      <c r="BH9" t="s">
        <v>112</v>
      </c>
      <c r="BI9" t="s">
        <v>88</v>
      </c>
      <c r="BK9" t="s">
        <v>104</v>
      </c>
      <c r="BL9" t="s">
        <v>96</v>
      </c>
      <c r="BM9" t="s">
        <v>126</v>
      </c>
      <c r="BN9" t="s">
        <v>87</v>
      </c>
      <c r="BQ9" t="s">
        <v>127</v>
      </c>
    </row>
    <row r="10" spans="1:74" ht="15" customHeight="1" x14ac:dyDescent="0.25">
      <c r="A10" s="4" t="s">
        <v>97</v>
      </c>
      <c r="B10" s="2" t="s">
        <v>88</v>
      </c>
      <c r="C10" s="4" t="s">
        <v>111</v>
      </c>
      <c r="D10" t="s">
        <v>97</v>
      </c>
      <c r="E10" t="s">
        <v>118</v>
      </c>
      <c r="F10" t="s">
        <v>98</v>
      </c>
      <c r="G10" t="s">
        <v>86</v>
      </c>
      <c r="H10" s="4" t="s">
        <v>111</v>
      </c>
      <c r="I10" s="4" t="s">
        <v>111</v>
      </c>
      <c r="J10" t="s">
        <v>124</v>
      </c>
      <c r="K10" t="s">
        <v>121</v>
      </c>
      <c r="L10" t="s">
        <v>113</v>
      </c>
      <c r="M10" t="s">
        <v>114</v>
      </c>
      <c r="N10" t="s">
        <v>128</v>
      </c>
      <c r="O10" t="s">
        <v>84</v>
      </c>
      <c r="P10" t="s">
        <v>85</v>
      </c>
      <c r="Q10" t="s">
        <v>86</v>
      </c>
      <c r="R10" t="s">
        <v>85</v>
      </c>
      <c r="S10" t="s">
        <v>94</v>
      </c>
      <c r="T10" t="s">
        <v>103</v>
      </c>
      <c r="U10" t="s">
        <v>86</v>
      </c>
      <c r="V10" t="s">
        <v>112</v>
      </c>
      <c r="W10" t="s">
        <v>129</v>
      </c>
      <c r="X10" t="s">
        <v>101</v>
      </c>
      <c r="Y10" s="1" t="s">
        <v>130</v>
      </c>
      <c r="Z10" t="s">
        <v>127</v>
      </c>
      <c r="AA10" t="s">
        <v>79</v>
      </c>
      <c r="AB10" t="s">
        <v>116</v>
      </c>
      <c r="AC10" t="s">
        <v>111</v>
      </c>
      <c r="AD10" t="s">
        <v>96</v>
      </c>
      <c r="AE10" t="s">
        <v>116</v>
      </c>
      <c r="AF10" t="s">
        <v>94</v>
      </c>
      <c r="AG10" t="s">
        <v>101</v>
      </c>
      <c r="AH10" t="s">
        <v>98</v>
      </c>
      <c r="AI10" t="s">
        <v>105</v>
      </c>
      <c r="AJ10" t="s">
        <v>122</v>
      </c>
      <c r="AK10" t="s">
        <v>111</v>
      </c>
      <c r="AL10" t="s">
        <v>122</v>
      </c>
      <c r="AM10" t="s">
        <v>111</v>
      </c>
      <c r="AN10" t="s">
        <v>85</v>
      </c>
      <c r="AO10" t="s">
        <v>116</v>
      </c>
      <c r="AP10" t="s">
        <v>103</v>
      </c>
      <c r="AQ10" t="s">
        <v>101</v>
      </c>
      <c r="AR10" t="s">
        <v>103</v>
      </c>
      <c r="AS10" t="s">
        <v>96</v>
      </c>
      <c r="AT10" t="s">
        <v>111</v>
      </c>
      <c r="AU10" t="s">
        <v>94</v>
      </c>
      <c r="AV10" t="s">
        <v>98</v>
      </c>
      <c r="AW10" t="s">
        <v>109</v>
      </c>
      <c r="AX10" t="s">
        <v>112</v>
      </c>
      <c r="AY10" t="s">
        <v>112</v>
      </c>
      <c r="AZ10" t="s">
        <v>103</v>
      </c>
      <c r="BB10" t="s">
        <v>86</v>
      </c>
      <c r="BC10" t="s">
        <v>85</v>
      </c>
      <c r="BD10" t="s">
        <v>122</v>
      </c>
      <c r="BE10" t="s">
        <v>97</v>
      </c>
      <c r="BF10" t="s">
        <v>96</v>
      </c>
      <c r="BG10" t="s">
        <v>103</v>
      </c>
      <c r="BH10" t="s">
        <v>119</v>
      </c>
      <c r="BI10" t="s">
        <v>131</v>
      </c>
      <c r="BK10" t="s">
        <v>112</v>
      </c>
      <c r="BL10" t="s">
        <v>97</v>
      </c>
      <c r="BM10" t="s">
        <v>122</v>
      </c>
      <c r="BN10" t="s">
        <v>105</v>
      </c>
      <c r="BQ10" s="2" t="s">
        <v>132</v>
      </c>
    </row>
    <row r="11" spans="1:74" ht="15" customHeight="1" x14ac:dyDescent="0.25">
      <c r="A11" t="s">
        <v>122</v>
      </c>
      <c r="C11" t="s">
        <v>124</v>
      </c>
      <c r="D11" s="4" t="s">
        <v>111</v>
      </c>
      <c r="E11" s="6" t="s">
        <v>106</v>
      </c>
      <c r="F11" t="s">
        <v>88</v>
      </c>
      <c r="G11" s="4" t="s">
        <v>94</v>
      </c>
      <c r="H11" t="s">
        <v>98</v>
      </c>
      <c r="I11" t="s">
        <v>98</v>
      </c>
      <c r="J11" t="s">
        <v>118</v>
      </c>
      <c r="K11" t="s">
        <v>97</v>
      </c>
      <c r="L11" t="s">
        <v>103</v>
      </c>
      <c r="M11" t="s">
        <v>79</v>
      </c>
      <c r="N11" t="s">
        <v>124</v>
      </c>
      <c r="O11" t="s">
        <v>85</v>
      </c>
      <c r="P11" t="s">
        <v>133</v>
      </c>
      <c r="Q11" t="s">
        <v>109</v>
      </c>
      <c r="R11" t="s">
        <v>101</v>
      </c>
      <c r="S11" t="s">
        <v>96</v>
      </c>
      <c r="T11" t="s">
        <v>119</v>
      </c>
      <c r="U11" t="s">
        <v>101</v>
      </c>
      <c r="V11" t="s">
        <v>103</v>
      </c>
      <c r="W11" t="s">
        <v>89</v>
      </c>
      <c r="X11" t="s">
        <v>112</v>
      </c>
      <c r="Y11" t="s">
        <v>134</v>
      </c>
      <c r="Z11" s="2" t="s">
        <v>135</v>
      </c>
      <c r="AA11" t="s">
        <v>84</v>
      </c>
      <c r="AB11" t="s">
        <v>105</v>
      </c>
      <c r="AC11" t="s">
        <v>116</v>
      </c>
      <c r="AD11" t="s">
        <v>104</v>
      </c>
      <c r="AE11" t="s">
        <v>122</v>
      </c>
      <c r="AF11" t="s">
        <v>110</v>
      </c>
      <c r="AG11" t="s">
        <v>128</v>
      </c>
      <c r="AH11" t="s">
        <v>124</v>
      </c>
      <c r="AI11" t="s">
        <v>99</v>
      </c>
      <c r="AJ11" t="s">
        <v>136</v>
      </c>
      <c r="AK11" t="s">
        <v>99</v>
      </c>
      <c r="AL11" t="s">
        <v>88</v>
      </c>
      <c r="AM11" t="s">
        <v>99</v>
      </c>
      <c r="AN11" t="s">
        <v>86</v>
      </c>
      <c r="AO11" t="s">
        <v>105</v>
      </c>
      <c r="AP11" t="s">
        <v>133</v>
      </c>
      <c r="AQ11" t="s">
        <v>121</v>
      </c>
      <c r="AR11" t="s">
        <v>101</v>
      </c>
      <c r="AS11" t="s">
        <v>97</v>
      </c>
      <c r="AT11" t="s">
        <v>128</v>
      </c>
      <c r="AU11" t="s">
        <v>84</v>
      </c>
      <c r="AV11" t="s">
        <v>105</v>
      </c>
      <c r="AW11" t="s">
        <v>112</v>
      </c>
      <c r="AX11" t="s">
        <v>126</v>
      </c>
      <c r="AY11" t="s">
        <v>119</v>
      </c>
      <c r="AZ11" t="s">
        <v>104</v>
      </c>
      <c r="BB11" t="s">
        <v>103</v>
      </c>
      <c r="BC11" t="s">
        <v>112</v>
      </c>
      <c r="BD11" t="s">
        <v>106</v>
      </c>
      <c r="BE11" t="s">
        <v>124</v>
      </c>
      <c r="BF11" t="s">
        <v>97</v>
      </c>
      <c r="BG11" t="s">
        <v>97</v>
      </c>
      <c r="BH11" t="s">
        <v>111</v>
      </c>
      <c r="BI11" t="s">
        <v>106</v>
      </c>
      <c r="BK11" t="s">
        <v>98</v>
      </c>
      <c r="BL11" t="s">
        <v>128</v>
      </c>
      <c r="BM11" t="s">
        <v>105</v>
      </c>
      <c r="BN11" t="s">
        <v>118</v>
      </c>
    </row>
    <row r="12" spans="1:74" ht="15" customHeight="1" x14ac:dyDescent="0.25">
      <c r="A12" t="s">
        <v>118</v>
      </c>
      <c r="C12" s="6" t="s">
        <v>137</v>
      </c>
      <c r="D12" t="s">
        <v>116</v>
      </c>
      <c r="E12" s="7" t="s">
        <v>138</v>
      </c>
      <c r="F12" s="6" t="s">
        <v>106</v>
      </c>
      <c r="G12" t="s">
        <v>124</v>
      </c>
      <c r="H12" t="s">
        <v>105</v>
      </c>
      <c r="I12" t="s">
        <v>122</v>
      </c>
      <c r="J12" s="6" t="s">
        <v>106</v>
      </c>
      <c r="K12" t="s">
        <v>111</v>
      </c>
      <c r="L12" t="s">
        <v>104</v>
      </c>
      <c r="M12" t="s">
        <v>84</v>
      </c>
      <c r="N12" t="s">
        <v>105</v>
      </c>
      <c r="O12" t="s">
        <v>101</v>
      </c>
      <c r="P12" t="s">
        <v>111</v>
      </c>
      <c r="Q12" t="s">
        <v>103</v>
      </c>
      <c r="R12" t="s">
        <v>102</v>
      </c>
      <c r="S12" t="s">
        <v>111</v>
      </c>
      <c r="T12" t="s">
        <v>99</v>
      </c>
      <c r="U12" t="s">
        <v>103</v>
      </c>
      <c r="V12" t="s">
        <v>133</v>
      </c>
      <c r="W12" s="1" t="s">
        <v>139</v>
      </c>
      <c r="X12" t="s">
        <v>96</v>
      </c>
      <c r="Y12" t="s">
        <v>127</v>
      </c>
      <c r="AA12" t="s">
        <v>86</v>
      </c>
      <c r="AB12" t="s">
        <v>118</v>
      </c>
      <c r="AC12" t="s">
        <v>140</v>
      </c>
      <c r="AD12" t="s">
        <v>111</v>
      </c>
      <c r="AE12" t="s">
        <v>88</v>
      </c>
      <c r="AF12" t="s">
        <v>79</v>
      </c>
      <c r="AG12" t="s">
        <v>124</v>
      </c>
      <c r="AH12" t="s">
        <v>99</v>
      </c>
      <c r="AI12" t="s">
        <v>141</v>
      </c>
      <c r="AJ12" t="s">
        <v>142</v>
      </c>
      <c r="AK12" t="s">
        <v>140</v>
      </c>
      <c r="AL12" t="s">
        <v>143</v>
      </c>
      <c r="AM12" t="s">
        <v>140</v>
      </c>
      <c r="AN12" t="s">
        <v>112</v>
      </c>
      <c r="AO12" t="s">
        <v>144</v>
      </c>
      <c r="AP12" t="s">
        <v>96</v>
      </c>
      <c r="AQ12" t="s">
        <v>96</v>
      </c>
      <c r="AR12" t="s">
        <v>96</v>
      </c>
      <c r="AS12" t="s">
        <v>111</v>
      </c>
      <c r="AT12" t="s">
        <v>105</v>
      </c>
      <c r="AU12" t="s">
        <v>86</v>
      </c>
      <c r="AV12" t="s">
        <v>88</v>
      </c>
      <c r="AW12" t="s">
        <v>97</v>
      </c>
      <c r="AX12" t="s">
        <v>116</v>
      </c>
      <c r="AY12" t="s">
        <v>111</v>
      </c>
      <c r="AZ12" t="s">
        <v>98</v>
      </c>
      <c r="BB12" t="s">
        <v>79</v>
      </c>
      <c r="BC12" t="s">
        <v>95</v>
      </c>
      <c r="BD12" t="s">
        <v>131</v>
      </c>
      <c r="BE12" t="s">
        <v>140</v>
      </c>
      <c r="BF12" t="s">
        <v>88</v>
      </c>
      <c r="BG12" t="s">
        <v>111</v>
      </c>
      <c r="BH12" t="s">
        <v>116</v>
      </c>
      <c r="BI12" t="s">
        <v>89</v>
      </c>
      <c r="BK12" t="s">
        <v>116</v>
      </c>
      <c r="BL12" t="s">
        <v>140</v>
      </c>
      <c r="BM12" t="s">
        <v>145</v>
      </c>
      <c r="BN12" t="s">
        <v>106</v>
      </c>
    </row>
    <row r="13" spans="1:74" ht="15" customHeight="1" x14ac:dyDescent="0.25">
      <c r="A13" s="6" t="s">
        <v>106</v>
      </c>
      <c r="C13" t="s">
        <v>106</v>
      </c>
      <c r="D13" t="s">
        <v>105</v>
      </c>
      <c r="E13" s="8" t="s">
        <v>91</v>
      </c>
      <c r="F13" s="7" t="s">
        <v>91</v>
      </c>
      <c r="G13" t="s">
        <v>97</v>
      </c>
      <c r="H13" t="s">
        <v>118</v>
      </c>
      <c r="I13" t="s">
        <v>88</v>
      </c>
      <c r="J13" s="9" t="s">
        <v>138</v>
      </c>
      <c r="K13" t="s">
        <v>116</v>
      </c>
      <c r="L13" t="s">
        <v>124</v>
      </c>
      <c r="M13" t="s">
        <v>86</v>
      </c>
      <c r="N13" t="s">
        <v>89</v>
      </c>
      <c r="O13" t="s">
        <v>133</v>
      </c>
      <c r="P13" t="s">
        <v>140</v>
      </c>
      <c r="Q13" t="s">
        <v>97</v>
      </c>
      <c r="R13" t="s">
        <v>97</v>
      </c>
      <c r="S13" t="s">
        <v>99</v>
      </c>
      <c r="T13" t="s">
        <v>118</v>
      </c>
      <c r="U13" t="s">
        <v>79</v>
      </c>
      <c r="V13" t="s">
        <v>120</v>
      </c>
      <c r="W13" t="s">
        <v>134</v>
      </c>
      <c r="X13" t="s">
        <v>104</v>
      </c>
      <c r="Y13" s="2" t="s">
        <v>135</v>
      </c>
      <c r="AA13" t="s">
        <v>112</v>
      </c>
      <c r="AB13" t="s">
        <v>140</v>
      </c>
      <c r="AC13" t="s">
        <v>124</v>
      </c>
      <c r="AD13" t="s">
        <v>98</v>
      </c>
      <c r="AE13" t="s">
        <v>91</v>
      </c>
      <c r="AF13" t="s">
        <v>85</v>
      </c>
      <c r="AG13" t="s">
        <v>88</v>
      </c>
      <c r="AH13" t="s">
        <v>105</v>
      </c>
      <c r="AI13" t="s">
        <v>106</v>
      </c>
      <c r="AJ13" s="1" t="s">
        <v>130</v>
      </c>
      <c r="AK13" t="s">
        <v>118</v>
      </c>
      <c r="AL13" t="s">
        <v>131</v>
      </c>
      <c r="AM13" t="s">
        <v>105</v>
      </c>
      <c r="AN13" t="s">
        <v>103</v>
      </c>
      <c r="AO13" s="3" t="s">
        <v>146</v>
      </c>
      <c r="AP13" t="s">
        <v>104</v>
      </c>
      <c r="AQ13" t="s">
        <v>97</v>
      </c>
      <c r="AR13" t="s">
        <v>120</v>
      </c>
      <c r="AS13" t="s">
        <v>126</v>
      </c>
      <c r="AT13" t="s">
        <v>118</v>
      </c>
      <c r="AU13" t="s">
        <v>112</v>
      </c>
      <c r="AV13" t="s">
        <v>118</v>
      </c>
      <c r="AW13" t="s">
        <v>111</v>
      </c>
      <c r="AX13" t="s">
        <v>88</v>
      </c>
      <c r="AY13" t="s">
        <v>116</v>
      </c>
      <c r="AZ13" t="s">
        <v>124</v>
      </c>
      <c r="BB13" t="s">
        <v>119</v>
      </c>
      <c r="BC13" t="s">
        <v>104</v>
      </c>
      <c r="BD13" t="s">
        <v>139</v>
      </c>
      <c r="BE13" t="s">
        <v>88</v>
      </c>
      <c r="BF13" t="s">
        <v>141</v>
      </c>
      <c r="BG13" t="s">
        <v>118</v>
      </c>
      <c r="BH13" t="s">
        <v>122</v>
      </c>
      <c r="BI13" t="s">
        <v>147</v>
      </c>
      <c r="BK13" t="s">
        <v>105</v>
      </c>
      <c r="BL13" t="s">
        <v>118</v>
      </c>
      <c r="BM13" t="s">
        <v>106</v>
      </c>
      <c r="BN13" t="s">
        <v>148</v>
      </c>
    </row>
    <row r="14" spans="1:74" ht="15" customHeight="1" x14ac:dyDescent="0.25">
      <c r="A14" s="7" t="s">
        <v>91</v>
      </c>
      <c r="C14" t="s">
        <v>149</v>
      </c>
      <c r="D14" s="6" t="s">
        <v>137</v>
      </c>
      <c r="E14" s="10" t="s">
        <v>147</v>
      </c>
      <c r="F14" s="10" t="s">
        <v>130</v>
      </c>
      <c r="G14" s="6" t="s">
        <v>137</v>
      </c>
      <c r="H14" s="6" t="s">
        <v>106</v>
      </c>
      <c r="I14" t="s">
        <v>118</v>
      </c>
      <c r="J14" t="s">
        <v>134</v>
      </c>
      <c r="K14" t="s">
        <v>105</v>
      </c>
      <c r="L14" t="s">
        <v>105</v>
      </c>
      <c r="M14" t="s">
        <v>101</v>
      </c>
      <c r="N14" t="s">
        <v>142</v>
      </c>
      <c r="O14" t="s">
        <v>111</v>
      </c>
      <c r="P14" t="s">
        <v>88</v>
      </c>
      <c r="Q14" t="s">
        <v>104</v>
      </c>
      <c r="R14" t="s">
        <v>98</v>
      </c>
      <c r="S14" t="s">
        <v>145</v>
      </c>
      <c r="T14" t="s">
        <v>104</v>
      </c>
      <c r="U14" t="s">
        <v>96</v>
      </c>
      <c r="V14" t="s">
        <v>87</v>
      </c>
      <c r="W14" t="s">
        <v>150</v>
      </c>
      <c r="X14" t="s">
        <v>116</v>
      </c>
      <c r="AA14" t="s">
        <v>97</v>
      </c>
      <c r="AB14" t="s">
        <v>106</v>
      </c>
      <c r="AC14" t="s">
        <v>106</v>
      </c>
      <c r="AD14" t="s">
        <v>116</v>
      </c>
      <c r="AE14" t="s">
        <v>117</v>
      </c>
      <c r="AF14" t="s">
        <v>85</v>
      </c>
      <c r="AG14" t="s">
        <v>116</v>
      </c>
      <c r="AH14" t="s">
        <v>151</v>
      </c>
      <c r="AI14" t="s">
        <v>148</v>
      </c>
      <c r="AJ14" t="s">
        <v>152</v>
      </c>
      <c r="AK14" t="s">
        <v>106</v>
      </c>
      <c r="AL14" t="s">
        <v>139</v>
      </c>
      <c r="AM14" t="s">
        <v>118</v>
      </c>
      <c r="AN14" t="s">
        <v>102</v>
      </c>
      <c r="AP14" t="s">
        <v>111</v>
      </c>
      <c r="AQ14" t="s">
        <v>104</v>
      </c>
      <c r="AR14" t="s">
        <v>87</v>
      </c>
      <c r="AS14" t="s">
        <v>116</v>
      </c>
      <c r="AT14" t="s">
        <v>106</v>
      </c>
      <c r="AU14" t="s">
        <v>103</v>
      </c>
      <c r="AV14" t="s">
        <v>131</v>
      </c>
      <c r="AW14" t="s">
        <v>116</v>
      </c>
      <c r="AX14" t="s">
        <v>118</v>
      </c>
      <c r="AY14" t="s">
        <v>124</v>
      </c>
      <c r="AZ14" t="s">
        <v>143</v>
      </c>
      <c r="BB14" t="s">
        <v>98</v>
      </c>
      <c r="BC14" t="s">
        <v>98</v>
      </c>
      <c r="BD14" t="s">
        <v>153</v>
      </c>
      <c r="BE14" t="s">
        <v>105</v>
      </c>
      <c r="BF14" t="s">
        <v>90</v>
      </c>
      <c r="BG14" t="s">
        <v>149</v>
      </c>
      <c r="BH14" t="s">
        <v>88</v>
      </c>
      <c r="BI14" t="s">
        <v>130</v>
      </c>
      <c r="BK14" t="s">
        <v>124</v>
      </c>
      <c r="BL14" t="s">
        <v>89</v>
      </c>
      <c r="BM14" t="s">
        <v>154</v>
      </c>
      <c r="BN14" t="s">
        <v>91</v>
      </c>
    </row>
    <row r="15" spans="1:74" ht="15" customHeight="1" x14ac:dyDescent="0.25">
      <c r="A15" s="10" t="s">
        <v>90</v>
      </c>
      <c r="C15" s="10" t="s">
        <v>130</v>
      </c>
      <c r="D15" t="s">
        <v>151</v>
      </c>
      <c r="E15" t="s">
        <v>155</v>
      </c>
      <c r="F15" t="s">
        <v>134</v>
      </c>
      <c r="G15" s="7" t="s">
        <v>91</v>
      </c>
      <c r="H15" s="6" t="s">
        <v>147</v>
      </c>
      <c r="I15" s="6" t="s">
        <v>137</v>
      </c>
      <c r="J15" t="s">
        <v>107</v>
      </c>
      <c r="K15" t="s">
        <v>106</v>
      </c>
      <c r="L15" t="s">
        <v>131</v>
      </c>
      <c r="M15" t="s">
        <v>112</v>
      </c>
      <c r="N15" s="6" t="s">
        <v>147</v>
      </c>
      <c r="O15" t="s">
        <v>87</v>
      </c>
      <c r="P15" t="s">
        <v>156</v>
      </c>
      <c r="Q15" t="s">
        <v>98</v>
      </c>
      <c r="R15" t="s">
        <v>122</v>
      </c>
      <c r="S15" t="s">
        <v>153</v>
      </c>
      <c r="T15" t="s">
        <v>106</v>
      </c>
      <c r="U15" t="s">
        <v>111</v>
      </c>
      <c r="V15" t="s">
        <v>116</v>
      </c>
      <c r="W15" t="s">
        <v>107</v>
      </c>
      <c r="X15" t="s">
        <v>124</v>
      </c>
      <c r="AA15" t="s">
        <v>111</v>
      </c>
      <c r="AB15" t="s">
        <v>89</v>
      </c>
      <c r="AC15" t="s">
        <v>90</v>
      </c>
      <c r="AD15" t="s">
        <v>105</v>
      </c>
      <c r="AE15" t="s">
        <v>157</v>
      </c>
      <c r="AF15" t="s">
        <v>115</v>
      </c>
      <c r="AG15" t="s">
        <v>129</v>
      </c>
      <c r="AH15" t="s">
        <v>147</v>
      </c>
      <c r="AI15" t="s">
        <v>89</v>
      </c>
      <c r="AJ15" s="2" t="s">
        <v>135</v>
      </c>
      <c r="AK15" t="s">
        <v>131</v>
      </c>
      <c r="AL15" t="s">
        <v>153</v>
      </c>
      <c r="AM15" t="s">
        <v>106</v>
      </c>
      <c r="AN15" t="s">
        <v>119</v>
      </c>
      <c r="AP15" t="s">
        <v>87</v>
      </c>
      <c r="AQ15" t="s">
        <v>126</v>
      </c>
      <c r="AR15" t="s">
        <v>98</v>
      </c>
      <c r="AS15" t="s">
        <v>122</v>
      </c>
      <c r="AT15" t="s">
        <v>89</v>
      </c>
      <c r="AU15" t="s">
        <v>97</v>
      </c>
      <c r="AV15" t="s">
        <v>106</v>
      </c>
      <c r="AW15" t="s">
        <v>122</v>
      </c>
      <c r="AX15" t="s">
        <v>131</v>
      </c>
      <c r="AY15" t="s">
        <v>105</v>
      </c>
      <c r="AZ15" t="s">
        <v>106</v>
      </c>
      <c r="BB15" t="s">
        <v>122</v>
      </c>
      <c r="BC15" t="s">
        <v>116</v>
      </c>
      <c r="BD15" t="s">
        <v>89</v>
      </c>
      <c r="BE15" t="s">
        <v>151</v>
      </c>
      <c r="BF15" t="s">
        <v>136</v>
      </c>
      <c r="BG15" t="s">
        <v>117</v>
      </c>
      <c r="BH15" t="s">
        <v>118</v>
      </c>
      <c r="BI15" s="1" t="s">
        <v>158</v>
      </c>
      <c r="BK15" t="s">
        <v>129</v>
      </c>
      <c r="BL15" t="s">
        <v>90</v>
      </c>
      <c r="BM15" t="s">
        <v>159</v>
      </c>
      <c r="BN15" t="s">
        <v>136</v>
      </c>
    </row>
    <row r="16" spans="1:74" ht="15" customHeight="1" x14ac:dyDescent="0.25">
      <c r="A16" t="s">
        <v>155</v>
      </c>
      <c r="C16" t="s">
        <v>150</v>
      </c>
      <c r="D16" s="7" t="s">
        <v>91</v>
      </c>
      <c r="E16" t="s">
        <v>150</v>
      </c>
      <c r="F16" t="s">
        <v>146</v>
      </c>
      <c r="G16" s="8" t="s">
        <v>144</v>
      </c>
      <c r="H16" s="1" t="s">
        <v>130</v>
      </c>
      <c r="I16" s="1" t="s">
        <v>151</v>
      </c>
      <c r="J16" t="s">
        <v>127</v>
      </c>
      <c r="K16" t="s">
        <v>89</v>
      </c>
      <c r="L16" t="s">
        <v>147</v>
      </c>
      <c r="M16" t="s">
        <v>103</v>
      </c>
      <c r="N16" t="s">
        <v>130</v>
      </c>
      <c r="O16" t="s">
        <v>122</v>
      </c>
      <c r="P16" t="s">
        <v>145</v>
      </c>
      <c r="Q16" t="s">
        <v>116</v>
      </c>
      <c r="R16" t="s">
        <v>105</v>
      </c>
      <c r="S16" t="s">
        <v>89</v>
      </c>
      <c r="T16" t="s">
        <v>141</v>
      </c>
      <c r="U16" t="s">
        <v>122</v>
      </c>
      <c r="V16" t="s">
        <v>140</v>
      </c>
      <c r="W16" s="2" t="s">
        <v>152</v>
      </c>
      <c r="X16" t="s">
        <v>89</v>
      </c>
      <c r="AA16" t="s">
        <v>98</v>
      </c>
      <c r="AB16" t="s">
        <v>142</v>
      </c>
      <c r="AC16" s="1" t="s">
        <v>147</v>
      </c>
      <c r="AD16" t="s">
        <v>88</v>
      </c>
      <c r="AE16" t="s">
        <v>150</v>
      </c>
      <c r="AF16" t="s">
        <v>101</v>
      </c>
      <c r="AG16" t="s">
        <v>91</v>
      </c>
      <c r="AH16" t="s">
        <v>123</v>
      </c>
      <c r="AI16" t="s">
        <v>130</v>
      </c>
      <c r="AK16" s="4" t="s">
        <v>125</v>
      </c>
      <c r="AL16" t="s">
        <v>89</v>
      </c>
      <c r="AM16" t="s">
        <v>139</v>
      </c>
      <c r="AN16" t="s">
        <v>111</v>
      </c>
      <c r="AP16" t="s">
        <v>98</v>
      </c>
      <c r="AQ16" t="s">
        <v>122</v>
      </c>
      <c r="AR16" t="s">
        <v>122</v>
      </c>
      <c r="AS16" t="s">
        <v>88</v>
      </c>
      <c r="AT16" t="s">
        <v>90</v>
      </c>
      <c r="AU16" t="s">
        <v>104</v>
      </c>
      <c r="AV16" t="s">
        <v>160</v>
      </c>
      <c r="AW16" t="s">
        <v>118</v>
      </c>
      <c r="AX16" t="s">
        <v>106</v>
      </c>
      <c r="AY16" t="s">
        <v>118</v>
      </c>
      <c r="AZ16" t="s">
        <v>160</v>
      </c>
      <c r="BB16" t="s">
        <v>88</v>
      </c>
      <c r="BC16" t="s">
        <v>122</v>
      </c>
      <c r="BD16" t="s">
        <v>130</v>
      </c>
      <c r="BE16" t="s">
        <v>158</v>
      </c>
      <c r="BF16" s="1" t="s">
        <v>147</v>
      </c>
      <c r="BG16" t="s">
        <v>89</v>
      </c>
      <c r="BH16" t="s">
        <v>131</v>
      </c>
      <c r="BI16" t="s">
        <v>155</v>
      </c>
      <c r="BK16" t="s">
        <v>153</v>
      </c>
      <c r="BL16" t="s">
        <v>136</v>
      </c>
      <c r="BM16" t="s">
        <v>161</v>
      </c>
      <c r="BN16" t="s">
        <v>162</v>
      </c>
    </row>
    <row r="17" spans="1:66" ht="15" customHeight="1" x14ac:dyDescent="0.25">
      <c r="A17" t="s">
        <v>107</v>
      </c>
      <c r="C17" s="2" t="s">
        <v>163</v>
      </c>
      <c r="D17" s="8" t="s">
        <v>144</v>
      </c>
      <c r="E17" t="s">
        <v>164</v>
      </c>
      <c r="F17" t="s">
        <v>127</v>
      </c>
      <c r="G17" s="10" t="s">
        <v>130</v>
      </c>
      <c r="H17" t="s">
        <v>155</v>
      </c>
      <c r="I17" t="s">
        <v>150</v>
      </c>
      <c r="J17" s="2" t="s">
        <v>132</v>
      </c>
      <c r="K17" s="10" t="s">
        <v>147</v>
      </c>
      <c r="L17" t="s">
        <v>130</v>
      </c>
      <c r="M17" t="s">
        <v>96</v>
      </c>
      <c r="N17" s="1" t="s">
        <v>136</v>
      </c>
      <c r="O17" t="s">
        <v>105</v>
      </c>
      <c r="P17" t="s">
        <v>149</v>
      </c>
      <c r="Q17" t="s">
        <v>105</v>
      </c>
      <c r="R17" t="s">
        <v>88</v>
      </c>
      <c r="S17" t="s">
        <v>91</v>
      </c>
      <c r="T17" t="s">
        <v>91</v>
      </c>
      <c r="U17" t="s">
        <v>98</v>
      </c>
      <c r="V17" t="s">
        <v>118</v>
      </c>
      <c r="W17" s="11" t="s">
        <v>165</v>
      </c>
      <c r="X17" s="6" t="s">
        <v>147</v>
      </c>
      <c r="AA17" t="s">
        <v>105</v>
      </c>
      <c r="AB17" s="1" t="s">
        <v>130</v>
      </c>
      <c r="AC17" t="s">
        <v>134</v>
      </c>
      <c r="AD17" t="s">
        <v>124</v>
      </c>
      <c r="AE17" t="s">
        <v>146</v>
      </c>
      <c r="AF17" t="s">
        <v>101</v>
      </c>
      <c r="AG17" t="s">
        <v>136</v>
      </c>
      <c r="AH17" t="s">
        <v>146</v>
      </c>
      <c r="AI17" t="s">
        <v>161</v>
      </c>
      <c r="AK17" t="s">
        <v>155</v>
      </c>
      <c r="AL17" t="s">
        <v>158</v>
      </c>
      <c r="AM17" t="s">
        <v>131</v>
      </c>
      <c r="AN17" t="s">
        <v>99</v>
      </c>
      <c r="AP17" t="s">
        <v>105</v>
      </c>
      <c r="AQ17" t="s">
        <v>88</v>
      </c>
      <c r="AR17" t="s">
        <v>156</v>
      </c>
      <c r="AS17" t="s">
        <v>129</v>
      </c>
      <c r="AT17" t="s">
        <v>136</v>
      </c>
      <c r="AU17" t="s">
        <v>98</v>
      </c>
      <c r="AV17" t="s">
        <v>89</v>
      </c>
      <c r="AW17" t="s">
        <v>131</v>
      </c>
      <c r="AX17" t="s">
        <v>149</v>
      </c>
      <c r="AY17" t="s">
        <v>131</v>
      </c>
      <c r="AZ17" t="s">
        <v>117</v>
      </c>
      <c r="BB17" t="s">
        <v>118</v>
      </c>
      <c r="BC17" t="s">
        <v>131</v>
      </c>
      <c r="BD17" t="s">
        <v>158</v>
      </c>
      <c r="BE17" s="1" t="s">
        <v>162</v>
      </c>
      <c r="BF17" t="s">
        <v>134</v>
      </c>
      <c r="BG17" t="s">
        <v>125</v>
      </c>
      <c r="BH17" t="s">
        <v>153</v>
      </c>
      <c r="BI17" t="s">
        <v>134</v>
      </c>
      <c r="BK17" t="s">
        <v>149</v>
      </c>
      <c r="BL17" s="1" t="s">
        <v>147</v>
      </c>
      <c r="BM17" t="s">
        <v>123</v>
      </c>
      <c r="BN17" t="s">
        <v>130</v>
      </c>
    </row>
    <row r="18" spans="1:66" ht="15" customHeight="1" x14ac:dyDescent="0.25">
      <c r="A18" t="s">
        <v>164</v>
      </c>
      <c r="C18" s="11" t="s">
        <v>166</v>
      </c>
      <c r="D18" s="1" t="s">
        <v>130</v>
      </c>
      <c r="E18" t="s">
        <v>163</v>
      </c>
      <c r="F18" s="2" t="s">
        <v>135</v>
      </c>
      <c r="G18" t="s">
        <v>134</v>
      </c>
      <c r="H18" t="s">
        <v>134</v>
      </c>
      <c r="I18" t="s">
        <v>146</v>
      </c>
      <c r="K18" t="s">
        <v>157</v>
      </c>
      <c r="L18" t="s">
        <v>167</v>
      </c>
      <c r="M18" t="s">
        <v>104</v>
      </c>
      <c r="N18" t="s">
        <v>127</v>
      </c>
      <c r="O18" t="s">
        <v>156</v>
      </c>
      <c r="P18" t="s">
        <v>139</v>
      </c>
      <c r="Q18" t="s">
        <v>118</v>
      </c>
      <c r="R18" t="s">
        <v>124</v>
      </c>
      <c r="S18" t="s">
        <v>91</v>
      </c>
      <c r="T18" t="s">
        <v>136</v>
      </c>
      <c r="U18" t="s">
        <v>148</v>
      </c>
      <c r="V18" t="s">
        <v>98</v>
      </c>
      <c r="W18" s="12" t="s">
        <v>168</v>
      </c>
      <c r="X18" s="1" t="s">
        <v>167</v>
      </c>
      <c r="AA18" t="s">
        <v>88</v>
      </c>
      <c r="AB18" t="s">
        <v>134</v>
      </c>
      <c r="AC18" t="s">
        <v>107</v>
      </c>
      <c r="AD18" t="s">
        <v>149</v>
      </c>
      <c r="AE18" t="s">
        <v>107</v>
      </c>
      <c r="AF18" t="s">
        <v>112</v>
      </c>
      <c r="AG18" s="1" t="s">
        <v>130</v>
      </c>
      <c r="AH18" t="s">
        <v>163</v>
      </c>
      <c r="AI18" t="s">
        <v>134</v>
      </c>
      <c r="AK18" t="s">
        <v>150</v>
      </c>
      <c r="AL18" t="s">
        <v>106</v>
      </c>
      <c r="AM18" s="1" t="s">
        <v>149</v>
      </c>
      <c r="AN18" t="s">
        <v>105</v>
      </c>
      <c r="AP18" t="s">
        <v>118</v>
      </c>
      <c r="AQ18" t="s">
        <v>98</v>
      </c>
      <c r="AR18" t="s">
        <v>88</v>
      </c>
      <c r="AS18" t="s">
        <v>141</v>
      </c>
      <c r="AT18" t="s">
        <v>142</v>
      </c>
      <c r="AU18" t="s">
        <v>122</v>
      </c>
      <c r="AV18" t="s">
        <v>139</v>
      </c>
      <c r="AW18" t="s">
        <v>151</v>
      </c>
      <c r="AX18" t="s">
        <v>158</v>
      </c>
      <c r="AY18" t="s">
        <v>139</v>
      </c>
      <c r="AZ18" t="s">
        <v>169</v>
      </c>
      <c r="BB18" t="s">
        <v>131</v>
      </c>
      <c r="BC18" t="s">
        <v>106</v>
      </c>
      <c r="BD18" s="1" t="s">
        <v>147</v>
      </c>
      <c r="BE18" t="s">
        <v>150</v>
      </c>
      <c r="BF18" t="s">
        <v>150</v>
      </c>
      <c r="BG18" s="1" t="s">
        <v>158</v>
      </c>
      <c r="BH18" t="s">
        <v>89</v>
      </c>
      <c r="BI18" t="s">
        <v>146</v>
      </c>
      <c r="BK18" s="1" t="s">
        <v>89</v>
      </c>
      <c r="BL18" t="s">
        <v>134</v>
      </c>
      <c r="BM18" t="s">
        <v>170</v>
      </c>
      <c r="BN18" s="1" t="s">
        <v>161</v>
      </c>
    </row>
    <row r="19" spans="1:66" ht="15" customHeight="1" x14ac:dyDescent="0.25">
      <c r="A19" t="s">
        <v>127</v>
      </c>
      <c r="C19" s="11" t="s">
        <v>165</v>
      </c>
      <c r="D19" t="s">
        <v>134</v>
      </c>
      <c r="E19" s="2" t="s">
        <v>135</v>
      </c>
      <c r="G19" t="s">
        <v>146</v>
      </c>
      <c r="H19" t="s">
        <v>150</v>
      </c>
      <c r="I19" t="s">
        <v>107</v>
      </c>
      <c r="K19" t="s">
        <v>107</v>
      </c>
      <c r="L19" s="1" t="s">
        <v>162</v>
      </c>
      <c r="M19" t="s">
        <v>111</v>
      </c>
      <c r="N19" s="2" t="s">
        <v>132</v>
      </c>
      <c r="O19" t="s">
        <v>89</v>
      </c>
      <c r="P19" t="s">
        <v>91</v>
      </c>
      <c r="Q19" t="s">
        <v>131</v>
      </c>
      <c r="R19" t="s">
        <v>104</v>
      </c>
      <c r="S19" t="s">
        <v>106</v>
      </c>
      <c r="T19" s="1" t="s">
        <v>162</v>
      </c>
      <c r="U19" t="s">
        <v>91</v>
      </c>
      <c r="V19" t="s">
        <v>129</v>
      </c>
      <c r="W19" s="12" t="s">
        <v>171</v>
      </c>
      <c r="X19" t="s">
        <v>150</v>
      </c>
      <c r="AA19" t="s">
        <v>143</v>
      </c>
      <c r="AB19" t="s">
        <v>157</v>
      </c>
      <c r="AC19" t="s">
        <v>157</v>
      </c>
      <c r="AD19" t="s">
        <v>158</v>
      </c>
      <c r="AE19" s="2" t="s">
        <v>135</v>
      </c>
      <c r="AF19" t="s">
        <v>103</v>
      </c>
      <c r="AG19" t="s">
        <v>107</v>
      </c>
      <c r="AH19" s="2" t="s">
        <v>135</v>
      </c>
      <c r="AI19" t="s">
        <v>107</v>
      </c>
      <c r="AK19" t="s">
        <v>146</v>
      </c>
      <c r="AL19" s="1" t="s">
        <v>147</v>
      </c>
      <c r="AM19" t="s">
        <v>134</v>
      </c>
      <c r="AN19" t="s">
        <v>144</v>
      </c>
      <c r="AP19" t="s">
        <v>153</v>
      </c>
      <c r="AQ19" t="s">
        <v>129</v>
      </c>
      <c r="AR19" t="s">
        <v>149</v>
      </c>
      <c r="AS19" t="s">
        <v>90</v>
      </c>
      <c r="AT19" t="s">
        <v>130</v>
      </c>
      <c r="AU19" t="s">
        <v>105</v>
      </c>
      <c r="AV19" t="s">
        <v>147</v>
      </c>
      <c r="AW19" t="s">
        <v>160</v>
      </c>
      <c r="AX19" t="s">
        <v>147</v>
      </c>
      <c r="AY19" t="s">
        <v>169</v>
      </c>
      <c r="AZ19" t="s">
        <v>130</v>
      </c>
      <c r="BB19" t="s">
        <v>89</v>
      </c>
      <c r="BC19" t="s">
        <v>158</v>
      </c>
      <c r="BD19" t="s">
        <v>155</v>
      </c>
      <c r="BE19" t="s">
        <v>127</v>
      </c>
      <c r="BF19" t="s">
        <v>146</v>
      </c>
      <c r="BG19" t="s">
        <v>134</v>
      </c>
      <c r="BH19" t="s">
        <v>147</v>
      </c>
      <c r="BI19" t="s">
        <v>172</v>
      </c>
      <c r="BK19" t="s">
        <v>134</v>
      </c>
      <c r="BL19" t="s">
        <v>146</v>
      </c>
      <c r="BM19" s="1" t="s">
        <v>173</v>
      </c>
      <c r="BN19" t="s">
        <v>134</v>
      </c>
    </row>
    <row r="20" spans="1:66" ht="15" customHeight="1" x14ac:dyDescent="0.25">
      <c r="A20" s="2" t="s">
        <v>132</v>
      </c>
      <c r="C20" s="12" t="s">
        <v>168</v>
      </c>
      <c r="D20" t="s">
        <v>146</v>
      </c>
      <c r="G20" s="2" t="s">
        <v>163</v>
      </c>
      <c r="H20" t="s">
        <v>127</v>
      </c>
      <c r="I20" t="s">
        <v>163</v>
      </c>
      <c r="K20" t="s">
        <v>127</v>
      </c>
      <c r="L20" t="s">
        <v>134</v>
      </c>
      <c r="M20" t="s">
        <v>98</v>
      </c>
      <c r="N20" s="12" t="s">
        <v>168</v>
      </c>
      <c r="O20" t="s">
        <v>159</v>
      </c>
      <c r="P20" t="s">
        <v>159</v>
      </c>
      <c r="Q20" t="s">
        <v>89</v>
      </c>
      <c r="R20" t="s">
        <v>129</v>
      </c>
      <c r="S20" t="s">
        <v>158</v>
      </c>
      <c r="T20" t="s">
        <v>155</v>
      </c>
      <c r="U20" s="4" t="s">
        <v>130</v>
      </c>
      <c r="V20" t="s">
        <v>106</v>
      </c>
      <c r="W20" s="12" t="s">
        <v>174</v>
      </c>
      <c r="X20" t="s">
        <v>146</v>
      </c>
      <c r="AA20" t="s">
        <v>131</v>
      </c>
      <c r="AB20" t="s">
        <v>107</v>
      </c>
      <c r="AC20" s="2" t="s">
        <v>163</v>
      </c>
      <c r="AD20" s="1" t="s">
        <v>130</v>
      </c>
      <c r="AF20" t="s">
        <v>103</v>
      </c>
      <c r="AG20" t="s">
        <v>164</v>
      </c>
      <c r="AI20" t="s">
        <v>175</v>
      </c>
      <c r="AK20" t="s">
        <v>164</v>
      </c>
      <c r="AL20" t="s">
        <v>155</v>
      </c>
      <c r="AM20" t="s">
        <v>150</v>
      </c>
      <c r="AN20" s="1" t="s">
        <v>162</v>
      </c>
      <c r="AP20" t="s">
        <v>158</v>
      </c>
      <c r="AQ20" t="s">
        <v>151</v>
      </c>
      <c r="AR20" t="s">
        <v>153</v>
      </c>
      <c r="AS20" t="s">
        <v>147</v>
      </c>
      <c r="AT20" s="1" t="s">
        <v>92</v>
      </c>
      <c r="AU20" t="s">
        <v>131</v>
      </c>
      <c r="AV20" s="1" t="s">
        <v>130</v>
      </c>
      <c r="AW20" t="s">
        <v>139</v>
      </c>
      <c r="AX20" s="1" t="s">
        <v>130</v>
      </c>
      <c r="AY20" t="s">
        <v>158</v>
      </c>
      <c r="AZ20" s="1" t="s">
        <v>147</v>
      </c>
      <c r="BB20" s="1" t="s">
        <v>162</v>
      </c>
      <c r="BC20" t="s">
        <v>151</v>
      </c>
      <c r="BD20" t="s">
        <v>164</v>
      </c>
      <c r="BE20" s="2" t="s">
        <v>135</v>
      </c>
      <c r="BF20" t="s">
        <v>152</v>
      </c>
      <c r="BG20" t="s">
        <v>176</v>
      </c>
      <c r="BH20" s="1" t="s">
        <v>130</v>
      </c>
      <c r="BI20" t="s">
        <v>163</v>
      </c>
      <c r="BK20" t="s">
        <v>150</v>
      </c>
      <c r="BL20" t="s">
        <v>163</v>
      </c>
      <c r="BM20" t="s">
        <v>177</v>
      </c>
      <c r="BN20" s="2" t="s">
        <v>164</v>
      </c>
    </row>
    <row r="21" spans="1:66" ht="15" customHeight="1" x14ac:dyDescent="0.25">
      <c r="C21" s="12" t="s">
        <v>171</v>
      </c>
      <c r="D21" t="s">
        <v>107</v>
      </c>
      <c r="G21" s="11" t="s">
        <v>166</v>
      </c>
      <c r="H21" s="2" t="s">
        <v>163</v>
      </c>
      <c r="I21" t="s">
        <v>164</v>
      </c>
      <c r="K21" s="2" t="s">
        <v>132</v>
      </c>
      <c r="L21" t="s">
        <v>107</v>
      </c>
      <c r="M21" t="s">
        <v>122</v>
      </c>
      <c r="N21" s="12" t="s">
        <v>171</v>
      </c>
      <c r="O21" s="6" t="s">
        <v>147</v>
      </c>
      <c r="P21" t="s">
        <v>130</v>
      </c>
      <c r="Q21" t="s">
        <v>138</v>
      </c>
      <c r="R21" t="s">
        <v>149</v>
      </c>
      <c r="S21" t="s">
        <v>136</v>
      </c>
      <c r="T21" t="s">
        <v>134</v>
      </c>
      <c r="U21" t="s">
        <v>134</v>
      </c>
      <c r="V21" t="s">
        <v>88</v>
      </c>
      <c r="W21" s="12" t="s">
        <v>178</v>
      </c>
      <c r="X21" t="s">
        <v>164</v>
      </c>
      <c r="AA21" t="s">
        <v>153</v>
      </c>
      <c r="AB21" t="s">
        <v>146</v>
      </c>
      <c r="AD21" t="s">
        <v>134</v>
      </c>
      <c r="AF21" t="s">
        <v>96</v>
      </c>
      <c r="AG21" t="s">
        <v>127</v>
      </c>
      <c r="AI21" t="s">
        <v>164</v>
      </c>
      <c r="AK21" t="s">
        <v>127</v>
      </c>
      <c r="AL21" t="s">
        <v>150</v>
      </c>
      <c r="AM21" t="s">
        <v>146</v>
      </c>
      <c r="AN21" t="s">
        <v>155</v>
      </c>
      <c r="AP21" t="s">
        <v>149</v>
      </c>
      <c r="AQ21" t="s">
        <v>148</v>
      </c>
      <c r="AR21" t="s">
        <v>91</v>
      </c>
      <c r="AS21" t="s">
        <v>130</v>
      </c>
      <c r="AT21" t="s">
        <v>134</v>
      </c>
      <c r="AU21" t="s">
        <v>106</v>
      </c>
      <c r="AV21" t="s">
        <v>155</v>
      </c>
      <c r="AW21" s="1" t="s">
        <v>92</v>
      </c>
      <c r="AX21" t="s">
        <v>155</v>
      </c>
      <c r="AY21" s="1" t="s">
        <v>92</v>
      </c>
      <c r="AZ21" t="s">
        <v>155</v>
      </c>
      <c r="BB21" t="s">
        <v>155</v>
      </c>
      <c r="BC21" t="s">
        <v>91</v>
      </c>
      <c r="BD21" t="s">
        <v>146</v>
      </c>
      <c r="BF21" s="2" t="s">
        <v>135</v>
      </c>
      <c r="BG21" t="s">
        <v>172</v>
      </c>
      <c r="BH21" t="s">
        <v>155</v>
      </c>
      <c r="BI21" s="2" t="s">
        <v>132</v>
      </c>
      <c r="BK21" t="s">
        <v>107</v>
      </c>
      <c r="BL21" s="2" t="s">
        <v>127</v>
      </c>
      <c r="BM21" t="s">
        <v>134</v>
      </c>
    </row>
    <row r="22" spans="1:66" ht="15" customHeight="1" x14ac:dyDescent="0.25">
      <c r="C22" s="12" t="s">
        <v>178</v>
      </c>
      <c r="D22" t="s">
        <v>163</v>
      </c>
      <c r="G22" s="11" t="s">
        <v>165</v>
      </c>
      <c r="H22" s="11" t="s">
        <v>165</v>
      </c>
      <c r="I22" s="2" t="s">
        <v>132</v>
      </c>
      <c r="K22" s="11" t="s">
        <v>166</v>
      </c>
      <c r="L22" t="s">
        <v>164</v>
      </c>
      <c r="M22" t="s">
        <v>88</v>
      </c>
      <c r="N22" s="12" t="s">
        <v>179</v>
      </c>
      <c r="O22" t="s">
        <v>162</v>
      </c>
      <c r="P22" t="s">
        <v>136</v>
      </c>
      <c r="Q22" t="s">
        <v>125</v>
      </c>
      <c r="R22" t="s">
        <v>89</v>
      </c>
      <c r="S22" t="s">
        <v>170</v>
      </c>
      <c r="T22" t="s">
        <v>175</v>
      </c>
      <c r="U22" t="s">
        <v>155</v>
      </c>
      <c r="V22" t="s">
        <v>89</v>
      </c>
      <c r="W22" s="13" t="s">
        <v>180</v>
      </c>
      <c r="X22" s="2" t="s">
        <v>127</v>
      </c>
      <c r="AA22" t="s">
        <v>169</v>
      </c>
      <c r="AB22" s="2" t="s">
        <v>152</v>
      </c>
      <c r="AD22" t="s">
        <v>107</v>
      </c>
      <c r="AF22" t="s">
        <v>104</v>
      </c>
      <c r="AG22" s="2" t="s">
        <v>135</v>
      </c>
      <c r="AI22" t="s">
        <v>127</v>
      </c>
      <c r="AK22" s="2" t="s">
        <v>135</v>
      </c>
      <c r="AL22" t="s">
        <v>176</v>
      </c>
      <c r="AM22" t="s">
        <v>164</v>
      </c>
      <c r="AN22" t="s">
        <v>150</v>
      </c>
      <c r="AP22" t="s">
        <v>130</v>
      </c>
      <c r="AQ22" s="1" t="s">
        <v>123</v>
      </c>
      <c r="AR22" t="s">
        <v>147</v>
      </c>
      <c r="AS22" t="s">
        <v>134</v>
      </c>
      <c r="AT22" t="s">
        <v>150</v>
      </c>
      <c r="AU22" t="s">
        <v>149</v>
      </c>
      <c r="AV22" t="s">
        <v>134</v>
      </c>
      <c r="AW22" t="s">
        <v>164</v>
      </c>
      <c r="AX22" t="s">
        <v>134</v>
      </c>
      <c r="AY22" t="s">
        <v>155</v>
      </c>
      <c r="AZ22" t="s">
        <v>150</v>
      </c>
      <c r="BB22" t="s">
        <v>150</v>
      </c>
      <c r="BC22" s="1" t="s">
        <v>130</v>
      </c>
      <c r="BD22" t="s">
        <v>163</v>
      </c>
      <c r="BG22" t="s">
        <v>127</v>
      </c>
      <c r="BH22" t="s">
        <v>150</v>
      </c>
      <c r="BK22" t="s">
        <v>181</v>
      </c>
      <c r="BM22" t="s">
        <v>107</v>
      </c>
    </row>
    <row r="23" spans="1:66" ht="15" customHeight="1" x14ac:dyDescent="0.25">
      <c r="C23" s="13" t="s">
        <v>180</v>
      </c>
      <c r="D23" t="s">
        <v>132</v>
      </c>
      <c r="G23" s="12" t="s">
        <v>168</v>
      </c>
      <c r="H23" s="11" t="s">
        <v>182</v>
      </c>
      <c r="I23" s="11" t="s">
        <v>166</v>
      </c>
      <c r="K23" s="12" t="s">
        <v>168</v>
      </c>
      <c r="L23" t="s">
        <v>163</v>
      </c>
      <c r="M23" t="s">
        <v>105</v>
      </c>
      <c r="N23" s="13" t="s">
        <v>183</v>
      </c>
      <c r="O23" t="s">
        <v>170</v>
      </c>
      <c r="P23" s="1" t="s">
        <v>162</v>
      </c>
      <c r="Q23" t="s">
        <v>147</v>
      </c>
      <c r="R23" t="s">
        <v>90</v>
      </c>
      <c r="S23" t="s">
        <v>170</v>
      </c>
      <c r="T23" s="2" t="s">
        <v>132</v>
      </c>
      <c r="U23" t="s">
        <v>164</v>
      </c>
      <c r="V23" t="s">
        <v>136</v>
      </c>
      <c r="W23" s="13" t="s">
        <v>184</v>
      </c>
      <c r="X23" s="12" t="s">
        <v>179</v>
      </c>
      <c r="AA23" t="s">
        <v>158</v>
      </c>
      <c r="AD23" t="s">
        <v>164</v>
      </c>
      <c r="AF23" t="s">
        <v>120</v>
      </c>
      <c r="AI23" t="s">
        <v>146</v>
      </c>
      <c r="AL23" t="s">
        <v>163</v>
      </c>
      <c r="AM23" t="s">
        <v>127</v>
      </c>
      <c r="AN23" t="s">
        <v>107</v>
      </c>
      <c r="AP23" s="1" t="s">
        <v>136</v>
      </c>
      <c r="AQ23" t="s">
        <v>150</v>
      </c>
      <c r="AR23" t="s">
        <v>162</v>
      </c>
      <c r="AS23" t="s">
        <v>107</v>
      </c>
      <c r="AT23" t="s">
        <v>146</v>
      </c>
      <c r="AU23" t="s">
        <v>138</v>
      </c>
      <c r="AV23" t="s">
        <v>150</v>
      </c>
      <c r="AW23" t="s">
        <v>107</v>
      </c>
      <c r="AX23" t="s">
        <v>150</v>
      </c>
      <c r="AY23" t="s">
        <v>150</v>
      </c>
      <c r="AZ23" t="s">
        <v>164</v>
      </c>
      <c r="BB23" t="s">
        <v>146</v>
      </c>
      <c r="BC23" t="s">
        <v>155</v>
      </c>
      <c r="BD23" s="2" t="s">
        <v>132</v>
      </c>
      <c r="BG23" s="2" t="s">
        <v>132</v>
      </c>
      <c r="BH23" t="s">
        <v>164</v>
      </c>
      <c r="BK23" t="s">
        <v>163</v>
      </c>
      <c r="BM23" t="s">
        <v>181</v>
      </c>
    </row>
    <row r="24" spans="1:66" ht="15" customHeight="1" x14ac:dyDescent="0.25">
      <c r="D24" s="2" t="s">
        <v>135</v>
      </c>
      <c r="G24" s="12" t="s">
        <v>171</v>
      </c>
      <c r="I24" s="11" t="s">
        <v>165</v>
      </c>
      <c r="K24" s="12" t="s">
        <v>171</v>
      </c>
      <c r="L24" t="s">
        <v>127</v>
      </c>
      <c r="M24" t="s">
        <v>143</v>
      </c>
      <c r="N24" t="s">
        <v>185</v>
      </c>
      <c r="O24" t="s">
        <v>155</v>
      </c>
      <c r="P24" t="s">
        <v>134</v>
      </c>
      <c r="Q24" s="1" t="s">
        <v>167</v>
      </c>
      <c r="R24" s="4" t="s">
        <v>161</v>
      </c>
      <c r="S24" t="s">
        <v>173</v>
      </c>
      <c r="T24" s="12" t="s">
        <v>174</v>
      </c>
      <c r="U24" t="s">
        <v>146</v>
      </c>
      <c r="V24" s="1" t="s">
        <v>173</v>
      </c>
      <c r="W24" t="s">
        <v>185</v>
      </c>
      <c r="X24" s="13" t="s">
        <v>186</v>
      </c>
      <c r="AA24" t="s">
        <v>154</v>
      </c>
      <c r="AD24" t="s">
        <v>127</v>
      </c>
      <c r="AF24" t="s">
        <v>111</v>
      </c>
      <c r="AI24" s="2" t="s">
        <v>163</v>
      </c>
      <c r="AL24" s="2" t="s">
        <v>135</v>
      </c>
      <c r="AM24" s="2" t="s">
        <v>135</v>
      </c>
      <c r="AN24" t="s">
        <v>175</v>
      </c>
      <c r="AP24" t="s">
        <v>155</v>
      </c>
      <c r="AQ24" t="s">
        <v>164</v>
      </c>
      <c r="AR24" t="s">
        <v>155</v>
      </c>
      <c r="AS24" t="s">
        <v>146</v>
      </c>
      <c r="AT24" t="s">
        <v>163</v>
      </c>
      <c r="AU24" t="s">
        <v>89</v>
      </c>
      <c r="AV24" t="s">
        <v>107</v>
      </c>
      <c r="AW24" t="s">
        <v>163</v>
      </c>
      <c r="AX24" t="s">
        <v>107</v>
      </c>
      <c r="AY24" t="s">
        <v>164</v>
      </c>
      <c r="AZ24" t="s">
        <v>172</v>
      </c>
      <c r="BB24" t="s">
        <v>163</v>
      </c>
      <c r="BC24" t="s">
        <v>134</v>
      </c>
      <c r="BG24" s="12" t="s">
        <v>179</v>
      </c>
      <c r="BH24" s="2" t="s">
        <v>132</v>
      </c>
      <c r="BK24" s="2" t="s">
        <v>127</v>
      </c>
      <c r="BM24" t="s">
        <v>164</v>
      </c>
    </row>
    <row r="25" spans="1:66" ht="15" customHeight="1" x14ac:dyDescent="0.25">
      <c r="D25" s="11" t="s">
        <v>166</v>
      </c>
      <c r="G25" s="12" t="s">
        <v>179</v>
      </c>
      <c r="I25" s="12" t="s">
        <v>168</v>
      </c>
      <c r="K25" s="12" t="s">
        <v>179</v>
      </c>
      <c r="L25" t="s">
        <v>132</v>
      </c>
      <c r="M25" t="s">
        <v>106</v>
      </c>
      <c r="N25" t="s">
        <v>187</v>
      </c>
      <c r="O25" t="s">
        <v>150</v>
      </c>
      <c r="P25" t="s">
        <v>155</v>
      </c>
      <c r="Q25" t="s">
        <v>155</v>
      </c>
      <c r="R25" t="s">
        <v>164</v>
      </c>
      <c r="S25" t="s">
        <v>162</v>
      </c>
      <c r="U25" t="s">
        <v>132</v>
      </c>
      <c r="V25" t="s">
        <v>177</v>
      </c>
      <c r="X25" s="13" t="s">
        <v>184</v>
      </c>
      <c r="AA25" t="s">
        <v>139</v>
      </c>
      <c r="AD25" s="2" t="s">
        <v>135</v>
      </c>
      <c r="AF25" t="s">
        <v>111</v>
      </c>
      <c r="AN25" t="s">
        <v>163</v>
      </c>
      <c r="AP25" t="s">
        <v>150</v>
      </c>
      <c r="AQ25" t="s">
        <v>127</v>
      </c>
      <c r="AR25" t="s">
        <v>150</v>
      </c>
      <c r="AS25" t="s">
        <v>127</v>
      </c>
      <c r="AT25" s="2" t="s">
        <v>135</v>
      </c>
      <c r="AU25" t="s">
        <v>139</v>
      </c>
      <c r="AV25" t="s">
        <v>146</v>
      </c>
      <c r="AW25" s="2" t="s">
        <v>132</v>
      </c>
      <c r="AX25" t="s">
        <v>127</v>
      </c>
      <c r="AY25" s="2" t="s">
        <v>172</v>
      </c>
      <c r="AZ25" s="2" t="s">
        <v>132</v>
      </c>
      <c r="BB25" t="s">
        <v>132</v>
      </c>
      <c r="BC25" t="s">
        <v>164</v>
      </c>
      <c r="BM25" t="s">
        <v>127</v>
      </c>
    </row>
    <row r="26" spans="1:66" ht="15.75" customHeight="1" x14ac:dyDescent="0.25">
      <c r="D26" s="11" t="s">
        <v>165</v>
      </c>
      <c r="G26" s="12" t="s">
        <v>178</v>
      </c>
      <c r="I26" s="12" t="s">
        <v>171</v>
      </c>
      <c r="K26" s="13" t="s">
        <v>183</v>
      </c>
      <c r="L26" s="2" t="s">
        <v>135</v>
      </c>
      <c r="M26" t="s">
        <v>169</v>
      </c>
      <c r="O26" t="s">
        <v>107</v>
      </c>
      <c r="P26" t="s">
        <v>150</v>
      </c>
      <c r="Q26" t="s">
        <v>150</v>
      </c>
      <c r="R26" s="2" t="s">
        <v>163</v>
      </c>
      <c r="S26" s="1" t="s">
        <v>130</v>
      </c>
      <c r="U26" s="2" t="s">
        <v>135</v>
      </c>
      <c r="V26" t="s">
        <v>134</v>
      </c>
      <c r="AA26" s="1" t="s">
        <v>147</v>
      </c>
      <c r="AD26" s="11" t="s">
        <v>166</v>
      </c>
      <c r="AF26" t="s">
        <v>109</v>
      </c>
      <c r="AN26" t="s">
        <v>127</v>
      </c>
      <c r="AP26" t="s">
        <v>107</v>
      </c>
      <c r="AQ26" s="2" t="s">
        <v>135</v>
      </c>
      <c r="AR26" t="s">
        <v>107</v>
      </c>
      <c r="AS26" t="s">
        <v>164</v>
      </c>
      <c r="AT26" s="11" t="s">
        <v>166</v>
      </c>
      <c r="AU26" t="s">
        <v>162</v>
      </c>
      <c r="AV26" t="s">
        <v>127</v>
      </c>
      <c r="AW26" s="11" t="s">
        <v>165</v>
      </c>
      <c r="AX26" t="s">
        <v>176</v>
      </c>
      <c r="BB26" s="2" t="s">
        <v>135</v>
      </c>
      <c r="BC26" t="s">
        <v>127</v>
      </c>
      <c r="BM26" t="s">
        <v>132</v>
      </c>
    </row>
    <row r="27" spans="1:66" ht="15" customHeight="1" x14ac:dyDescent="0.25">
      <c r="D27" s="11" t="s">
        <v>182</v>
      </c>
      <c r="G27" s="13" t="s">
        <v>180</v>
      </c>
      <c r="I27" s="12" t="s">
        <v>179</v>
      </c>
      <c r="K27" t="s">
        <v>188</v>
      </c>
      <c r="L27" s="11" t="s">
        <v>166</v>
      </c>
      <c r="M27" t="s">
        <v>89</v>
      </c>
      <c r="O27" t="s">
        <v>164</v>
      </c>
      <c r="P27" t="s">
        <v>164</v>
      </c>
      <c r="Q27" t="s">
        <v>107</v>
      </c>
      <c r="R27" s="12" t="s">
        <v>168</v>
      </c>
      <c r="S27" t="s">
        <v>177</v>
      </c>
      <c r="U27" s="11" t="s">
        <v>166</v>
      </c>
      <c r="V27" t="s">
        <v>107</v>
      </c>
      <c r="AA27" t="s">
        <v>134</v>
      </c>
      <c r="AF27" t="s">
        <v>87</v>
      </c>
      <c r="AN27" s="2" t="s">
        <v>132</v>
      </c>
      <c r="AP27" t="s">
        <v>164</v>
      </c>
      <c r="AR27" t="s">
        <v>172</v>
      </c>
      <c r="AS27" s="2" t="s">
        <v>132</v>
      </c>
      <c r="AT27" s="12" t="s">
        <v>174</v>
      </c>
      <c r="AU27" t="s">
        <v>167</v>
      </c>
      <c r="AV27" t="s">
        <v>135</v>
      </c>
      <c r="AW27" s="12" t="s">
        <v>171</v>
      </c>
      <c r="AX27" s="2" t="s">
        <v>135</v>
      </c>
      <c r="BC27" s="2" t="s">
        <v>132</v>
      </c>
      <c r="BM27" s="2" t="s">
        <v>135</v>
      </c>
    </row>
    <row r="28" spans="1:66" ht="15" customHeight="1" x14ac:dyDescent="0.25">
      <c r="D28" s="12" t="s">
        <v>168</v>
      </c>
      <c r="G28" s="13" t="s">
        <v>183</v>
      </c>
      <c r="I28" s="12" t="s">
        <v>174</v>
      </c>
      <c r="K28" t="s">
        <v>187</v>
      </c>
      <c r="L28" s="11" t="s">
        <v>165</v>
      </c>
      <c r="M28" t="s">
        <v>160</v>
      </c>
      <c r="O28" t="s">
        <v>181</v>
      </c>
      <c r="P28" s="2" t="s">
        <v>127</v>
      </c>
      <c r="Q28" t="s">
        <v>176</v>
      </c>
      <c r="R28" s="12" t="s">
        <v>171</v>
      </c>
      <c r="S28" t="s">
        <v>177</v>
      </c>
      <c r="U28" s="12" t="s">
        <v>171</v>
      </c>
      <c r="V28" t="s">
        <v>172</v>
      </c>
      <c r="AA28" t="s">
        <v>150</v>
      </c>
      <c r="AF28" t="s">
        <v>98</v>
      </c>
      <c r="AN28" s="11" t="s">
        <v>166</v>
      </c>
      <c r="AP28" t="s">
        <v>163</v>
      </c>
      <c r="AR28" t="s">
        <v>164</v>
      </c>
      <c r="AU28" s="1" t="s">
        <v>147</v>
      </c>
      <c r="AV28" s="2" t="s">
        <v>132</v>
      </c>
      <c r="AW28" s="12" t="s">
        <v>178</v>
      </c>
    </row>
    <row r="29" spans="1:66" ht="15" customHeight="1" x14ac:dyDescent="0.25">
      <c r="D29" s="12" t="s">
        <v>171</v>
      </c>
      <c r="I29" s="13" t="s">
        <v>186</v>
      </c>
      <c r="L29" s="12" t="s">
        <v>168</v>
      </c>
      <c r="M29" t="s">
        <v>139</v>
      </c>
      <c r="O29" t="s">
        <v>163</v>
      </c>
      <c r="P29" s="11" t="s">
        <v>166</v>
      </c>
      <c r="Q29" t="s">
        <v>163</v>
      </c>
      <c r="R29" s="12" t="s">
        <v>174</v>
      </c>
      <c r="S29" t="s">
        <v>150</v>
      </c>
      <c r="U29" s="12" t="s">
        <v>179</v>
      </c>
      <c r="V29" t="s">
        <v>163</v>
      </c>
      <c r="AA29" t="s">
        <v>127</v>
      </c>
      <c r="AF29" t="s">
        <v>98</v>
      </c>
      <c r="AP29" t="s">
        <v>181</v>
      </c>
      <c r="AR29" t="s">
        <v>127</v>
      </c>
      <c r="AU29" t="s">
        <v>155</v>
      </c>
    </row>
    <row r="30" spans="1:66" ht="15" customHeight="1" x14ac:dyDescent="0.25">
      <c r="D30" s="12" t="s">
        <v>179</v>
      </c>
      <c r="I30" s="13" t="s">
        <v>183</v>
      </c>
      <c r="L30" s="12" t="s">
        <v>171</v>
      </c>
      <c r="M30" s="1" t="s">
        <v>154</v>
      </c>
      <c r="O30" s="2" t="s">
        <v>132</v>
      </c>
      <c r="P30" s="11" t="s">
        <v>165</v>
      </c>
      <c r="Q30" s="2" t="s">
        <v>132</v>
      </c>
      <c r="R30" s="12" t="s">
        <v>178</v>
      </c>
      <c r="S30" t="s">
        <v>172</v>
      </c>
      <c r="U30" s="12" t="s">
        <v>174</v>
      </c>
      <c r="V30" s="2" t="s">
        <v>132</v>
      </c>
      <c r="AA30" t="s">
        <v>132</v>
      </c>
      <c r="AF30" t="s">
        <v>116</v>
      </c>
      <c r="AP30" s="2" t="s">
        <v>132</v>
      </c>
      <c r="AR30" s="2" t="s">
        <v>135</v>
      </c>
      <c r="AU30" t="s">
        <v>150</v>
      </c>
    </row>
    <row r="31" spans="1:66" ht="15" customHeight="1" x14ac:dyDescent="0.25">
      <c r="D31" s="12" t="s">
        <v>174</v>
      </c>
      <c r="I31" t="s">
        <v>185</v>
      </c>
      <c r="L31" s="12" t="s">
        <v>179</v>
      </c>
      <c r="M31" t="s">
        <v>134</v>
      </c>
      <c r="O31" s="11" t="s">
        <v>166</v>
      </c>
      <c r="P31" s="12" t="s">
        <v>168</v>
      </c>
      <c r="Q31" s="11" t="s">
        <v>166</v>
      </c>
      <c r="S31" t="s">
        <v>172</v>
      </c>
      <c r="U31" s="13" t="s">
        <v>180</v>
      </c>
      <c r="V31" s="11" t="s">
        <v>165</v>
      </c>
      <c r="AA31" s="2" t="s">
        <v>135</v>
      </c>
      <c r="AF31" t="s">
        <v>116</v>
      </c>
      <c r="AR31" s="11" t="s">
        <v>166</v>
      </c>
      <c r="AU31" t="s">
        <v>146</v>
      </c>
    </row>
    <row r="32" spans="1:66" ht="15" customHeight="1" x14ac:dyDescent="0.25">
      <c r="D32" s="13" t="s">
        <v>186</v>
      </c>
      <c r="I32" t="s">
        <v>189</v>
      </c>
      <c r="L32" s="12" t="s">
        <v>174</v>
      </c>
      <c r="M32" t="s">
        <v>150</v>
      </c>
      <c r="O32" s="11" t="s">
        <v>165</v>
      </c>
      <c r="P32" s="12" t="s">
        <v>171</v>
      </c>
      <c r="Q32" s="12" t="s">
        <v>182</v>
      </c>
      <c r="S32" t="s">
        <v>146</v>
      </c>
      <c r="U32" s="13" t="s">
        <v>184</v>
      </c>
      <c r="V32" s="11" t="s">
        <v>182</v>
      </c>
      <c r="AA32" s="11" t="s">
        <v>165</v>
      </c>
      <c r="AF32" t="s">
        <v>156</v>
      </c>
      <c r="AR32" s="11" t="s">
        <v>165</v>
      </c>
      <c r="AU32" t="s">
        <v>164</v>
      </c>
    </row>
    <row r="33" spans="4:47" ht="15" customHeight="1" x14ac:dyDescent="0.25">
      <c r="D33" s="13" t="s">
        <v>183</v>
      </c>
      <c r="L33" s="12" t="s">
        <v>178</v>
      </c>
      <c r="M33" t="s">
        <v>107</v>
      </c>
      <c r="O33" s="12" t="s">
        <v>168</v>
      </c>
      <c r="P33" s="12" t="s">
        <v>179</v>
      </c>
      <c r="Q33" s="12" t="s">
        <v>168</v>
      </c>
      <c r="S33" t="s">
        <v>107</v>
      </c>
      <c r="U33" t="s">
        <v>190</v>
      </c>
      <c r="V33" s="12" t="s">
        <v>171</v>
      </c>
      <c r="AA33" s="12" t="s">
        <v>168</v>
      </c>
      <c r="AF33" t="s">
        <v>88</v>
      </c>
      <c r="AU33" t="s">
        <v>127</v>
      </c>
    </row>
    <row r="34" spans="4:47" ht="15" customHeight="1" x14ac:dyDescent="0.25">
      <c r="D34" t="s">
        <v>185</v>
      </c>
      <c r="L34" s="13" t="s">
        <v>186</v>
      </c>
      <c r="M34" t="s">
        <v>164</v>
      </c>
      <c r="O34" s="12" t="s">
        <v>171</v>
      </c>
      <c r="P34" s="12" t="s">
        <v>178</v>
      </c>
      <c r="Q34" s="12" t="s">
        <v>179</v>
      </c>
      <c r="S34" t="s">
        <v>163</v>
      </c>
      <c r="U34" t="s">
        <v>187</v>
      </c>
      <c r="V34" s="12" t="s">
        <v>179</v>
      </c>
      <c r="AA34" s="12" t="s">
        <v>179</v>
      </c>
      <c r="AF34" t="s">
        <v>118</v>
      </c>
      <c r="AU34" s="2" t="s">
        <v>132</v>
      </c>
    </row>
    <row r="35" spans="4:47" ht="15" customHeight="1" x14ac:dyDescent="0.25">
      <c r="L35" s="13" t="s">
        <v>183</v>
      </c>
      <c r="M35" t="s">
        <v>132</v>
      </c>
      <c r="O35" s="12" t="s">
        <v>179</v>
      </c>
      <c r="P35" s="13" t="s">
        <v>180</v>
      </c>
      <c r="Q35" s="12" t="s">
        <v>178</v>
      </c>
      <c r="S35" t="s">
        <v>163</v>
      </c>
      <c r="V35" s="12" t="s">
        <v>174</v>
      </c>
      <c r="AF35" t="s">
        <v>145</v>
      </c>
    </row>
    <row r="36" spans="4:47" ht="15" customHeight="1" x14ac:dyDescent="0.25">
      <c r="M36" s="2" t="s">
        <v>163</v>
      </c>
      <c r="O36" s="12" t="s">
        <v>178</v>
      </c>
      <c r="P36" s="13" t="s">
        <v>184</v>
      </c>
      <c r="Q36" s="13" t="s">
        <v>183</v>
      </c>
      <c r="S36" t="s">
        <v>132</v>
      </c>
      <c r="V36" s="13" t="s">
        <v>184</v>
      </c>
      <c r="AF36" t="s">
        <v>129</v>
      </c>
    </row>
    <row r="37" spans="4:47" ht="15" customHeight="1" x14ac:dyDescent="0.25">
      <c r="M37" s="11" t="s">
        <v>166</v>
      </c>
      <c r="O37" s="12" t="s">
        <v>174</v>
      </c>
      <c r="P37" t="s">
        <v>188</v>
      </c>
      <c r="Q37" t="s">
        <v>190</v>
      </c>
      <c r="S37" t="s">
        <v>135</v>
      </c>
      <c r="V37" t="s">
        <v>188</v>
      </c>
      <c r="AF37" t="s">
        <v>149</v>
      </c>
    </row>
    <row r="38" spans="4:47" ht="15" customHeight="1" x14ac:dyDescent="0.25">
      <c r="M38" s="11" t="s">
        <v>165</v>
      </c>
      <c r="O38" s="13" t="s">
        <v>180</v>
      </c>
      <c r="Q38" t="s">
        <v>189</v>
      </c>
      <c r="S38" s="2" t="s">
        <v>132</v>
      </c>
      <c r="V38" t="s">
        <v>189</v>
      </c>
      <c r="AF38" t="s">
        <v>139</v>
      </c>
    </row>
    <row r="39" spans="4:47" ht="15" customHeight="1" x14ac:dyDescent="0.25">
      <c r="M39" s="12" t="s">
        <v>168</v>
      </c>
      <c r="O39" s="13" t="s">
        <v>184</v>
      </c>
      <c r="S39" s="11" t="s">
        <v>165</v>
      </c>
      <c r="AF39" t="s">
        <v>91</v>
      </c>
    </row>
    <row r="40" spans="4:47" ht="15" customHeight="1" x14ac:dyDescent="0.25">
      <c r="M40" s="12" t="s">
        <v>171</v>
      </c>
      <c r="O40" t="s">
        <v>188</v>
      </c>
      <c r="S40" s="12" t="s">
        <v>168</v>
      </c>
      <c r="AF40" t="s">
        <v>91</v>
      </c>
    </row>
    <row r="41" spans="4:47" ht="15" customHeight="1" x14ac:dyDescent="0.25">
      <c r="M41" s="12" t="s">
        <v>179</v>
      </c>
      <c r="O41" t="s">
        <v>189</v>
      </c>
      <c r="S41" s="12" t="s">
        <v>179</v>
      </c>
      <c r="AF41" t="s">
        <v>159</v>
      </c>
    </row>
    <row r="42" spans="4:47" ht="15" customHeight="1" x14ac:dyDescent="0.25">
      <c r="M42" s="12" t="s">
        <v>174</v>
      </c>
      <c r="S42" s="12" t="s">
        <v>178</v>
      </c>
      <c r="AF42" t="s">
        <v>154</v>
      </c>
    </row>
    <row r="43" spans="4:47" ht="15" customHeight="1" x14ac:dyDescent="0.25">
      <c r="M43" s="12" t="s">
        <v>178</v>
      </c>
      <c r="S43" s="13" t="s">
        <v>180</v>
      </c>
      <c r="AF43" t="s">
        <v>151</v>
      </c>
    </row>
    <row r="44" spans="4:47" ht="15" customHeight="1" x14ac:dyDescent="0.25">
      <c r="M44" s="13" t="s">
        <v>183</v>
      </c>
      <c r="S44" s="13" t="s">
        <v>184</v>
      </c>
      <c r="AF44" t="s">
        <v>130</v>
      </c>
    </row>
    <row r="45" spans="4:47" ht="15" customHeight="1" x14ac:dyDescent="0.25">
      <c r="M45" s="13" t="s">
        <v>184</v>
      </c>
      <c r="AF45" t="s">
        <v>162</v>
      </c>
    </row>
    <row r="46" spans="4:47" ht="15" customHeight="1" x14ac:dyDescent="0.25">
      <c r="M46" t="s">
        <v>190</v>
      </c>
      <c r="AF46" t="s">
        <v>173</v>
      </c>
    </row>
    <row r="47" spans="4:47" ht="15" customHeight="1" x14ac:dyDescent="0.25">
      <c r="AF47" s="1" t="s">
        <v>147</v>
      </c>
    </row>
    <row r="48" spans="4:47" ht="15" customHeight="1" x14ac:dyDescent="0.25">
      <c r="AF48" t="s">
        <v>155</v>
      </c>
    </row>
    <row r="49" spans="32:32" ht="15" customHeight="1" x14ac:dyDescent="0.25">
      <c r="AF49" t="s">
        <v>134</v>
      </c>
    </row>
    <row r="50" spans="32:32" ht="15" customHeight="1" x14ac:dyDescent="0.25">
      <c r="AF50" t="s">
        <v>150</v>
      </c>
    </row>
    <row r="51" spans="32:32" ht="15" customHeight="1" x14ac:dyDescent="0.25">
      <c r="AF51" t="s">
        <v>175</v>
      </c>
    </row>
    <row r="52" spans="32:32" ht="15" customHeight="1" x14ac:dyDescent="0.25">
      <c r="AF52" t="s">
        <v>163</v>
      </c>
    </row>
    <row r="53" spans="32:32" ht="15" customHeight="1" x14ac:dyDescent="0.25">
      <c r="AF53" t="s">
        <v>127</v>
      </c>
    </row>
    <row r="54" spans="32:32" ht="15" customHeight="1" x14ac:dyDescent="0.25">
      <c r="AF54" t="s">
        <v>146</v>
      </c>
    </row>
    <row r="55" spans="32:32" ht="15" customHeight="1" x14ac:dyDescent="0.25">
      <c r="AF55" t="s">
        <v>132</v>
      </c>
    </row>
    <row r="56" spans="32:32" ht="15" customHeight="1" x14ac:dyDescent="0.25">
      <c r="AF56" t="s">
        <v>135</v>
      </c>
    </row>
    <row r="57" spans="32:32" ht="15" customHeight="1" x14ac:dyDescent="0.25">
      <c r="AF57" s="2" t="s">
        <v>135</v>
      </c>
    </row>
    <row r="58" spans="32:32" ht="15" customHeight="1" x14ac:dyDescent="0.25">
      <c r="AF58" s="11" t="s">
        <v>166</v>
      </c>
    </row>
    <row r="59" spans="32:32" ht="15" customHeight="1" x14ac:dyDescent="0.25">
      <c r="AF59" s="11" t="s">
        <v>165</v>
      </c>
    </row>
    <row r="60" spans="32:32" ht="15" customHeight="1" x14ac:dyDescent="0.25">
      <c r="AF60" s="12" t="s">
        <v>168</v>
      </c>
    </row>
    <row r="61" spans="32:32" ht="15" customHeight="1" x14ac:dyDescent="0.25">
      <c r="AF61" s="12" t="s">
        <v>171</v>
      </c>
    </row>
    <row r="62" spans="32:32" ht="15" customHeight="1" x14ac:dyDescent="0.25">
      <c r="AF62" s="12" t="s">
        <v>174</v>
      </c>
    </row>
    <row r="63" spans="32:32" ht="15" customHeight="1" x14ac:dyDescent="0.25">
      <c r="AF63" s="12" t="s">
        <v>178</v>
      </c>
    </row>
    <row r="64" spans="32:32" ht="15" customHeight="1" x14ac:dyDescent="0.25">
      <c r="AF64" s="13" t="s">
        <v>180</v>
      </c>
    </row>
    <row r="65" spans="32:32" ht="15" customHeight="1" x14ac:dyDescent="0.25">
      <c r="AF65" t="s">
        <v>190</v>
      </c>
    </row>
    <row r="66" spans="32:32" ht="15" customHeight="1" x14ac:dyDescent="0.25">
      <c r="AF66" t="s">
        <v>187</v>
      </c>
    </row>
    <row r="67" spans="32:32" ht="15" customHeight="1" x14ac:dyDescent="0.25"/>
    <row r="68" spans="32:32" ht="15" customHeight="1" x14ac:dyDescent="0.25"/>
    <row r="69" spans="32:32" ht="15" customHeight="1" x14ac:dyDescent="0.25"/>
    <row r="70" spans="32:32" ht="15" customHeight="1" x14ac:dyDescent="0.25"/>
    <row r="71" spans="32:32" ht="15" customHeight="1" x14ac:dyDescent="0.25"/>
    <row r="72" spans="32:32" ht="15" customHeight="1" x14ac:dyDescent="0.25"/>
    <row r="73" spans="32:32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5E4C-AA2D-4487-99AE-07F38855C18D}">
  <dimension ref="A1:BV73"/>
  <sheetViews>
    <sheetView tabSelected="1" zoomScaleNormal="100" workbookViewId="0">
      <selection sqref="A1:K1"/>
    </sheetView>
  </sheetViews>
  <sheetFormatPr defaultRowHeight="14.45" customHeight="1" x14ac:dyDescent="0.25"/>
  <cols>
    <col min="1" max="1" width="10.5703125" customWidth="1"/>
    <col min="2" max="2" width="12.140625" customWidth="1"/>
    <col min="3" max="3" width="14.140625" customWidth="1"/>
    <col min="4" max="4" width="13" customWidth="1"/>
    <col min="5" max="5" width="12.5703125" customWidth="1"/>
    <col min="6" max="6" width="11.140625" customWidth="1"/>
    <col min="7" max="7" width="13.28515625" customWidth="1"/>
    <col min="8" max="8" width="14.140625" customWidth="1"/>
    <col min="9" max="9" width="10.7109375" customWidth="1"/>
    <col min="10" max="10" width="16.85546875" customWidth="1"/>
    <col min="11" max="11" width="11.7109375" customWidth="1"/>
    <col min="12" max="12" width="10.7109375" customWidth="1"/>
    <col min="13" max="13" width="10.140625" customWidth="1"/>
    <col min="14" max="14" width="14" customWidth="1"/>
    <col min="15" max="15" width="13.28515625" customWidth="1"/>
    <col min="16" max="16" width="11.140625" customWidth="1"/>
    <col min="17" max="17" width="11.85546875" customWidth="1"/>
    <col min="18" max="18" width="17.28515625" customWidth="1"/>
    <col min="19" max="19" width="11.7109375" customWidth="1"/>
    <col min="20" max="20" width="10.28515625" customWidth="1"/>
    <col min="21" max="21" width="14.5703125" customWidth="1"/>
    <col min="22" max="22" width="10.42578125" customWidth="1"/>
    <col min="23" max="23" width="11.28515625" customWidth="1"/>
    <col min="24" max="24" width="12" customWidth="1"/>
    <col min="25" max="25" width="15.140625" customWidth="1"/>
    <col min="26" max="26" width="11.42578125" customWidth="1"/>
    <col min="27" max="27" width="13.28515625" customWidth="1"/>
    <col min="28" max="28" width="10.5703125" customWidth="1"/>
    <col min="29" max="29" width="10.28515625" customWidth="1"/>
    <col min="30" max="30" width="13.5703125" customWidth="1"/>
    <col min="31" max="31" width="10.85546875" customWidth="1"/>
    <col min="32" max="32" width="12.7109375" customWidth="1"/>
    <col min="33" max="33" width="10.42578125" customWidth="1"/>
    <col min="34" max="34" width="13.42578125" customWidth="1"/>
    <col min="35" max="35" width="10.28515625" customWidth="1"/>
    <col min="36" max="36" width="18.42578125" customWidth="1"/>
    <col min="37" max="37" width="13.140625" customWidth="1"/>
    <col min="38" max="38" width="13.85546875" customWidth="1"/>
    <col min="39" max="39" width="12.42578125" customWidth="1"/>
    <col min="40" max="40" width="11.28515625" customWidth="1"/>
    <col min="41" max="41" width="12.5703125" customWidth="1"/>
    <col min="42" max="42" width="11.42578125" customWidth="1"/>
    <col min="43" max="43" width="11.7109375" customWidth="1"/>
    <col min="44" max="44" width="14.42578125" customWidth="1"/>
    <col min="45" max="45" width="12.5703125" customWidth="1"/>
    <col min="46" max="46" width="10" customWidth="1"/>
    <col min="47" max="47" width="11.85546875" customWidth="1"/>
    <col min="48" max="48" width="11.42578125" customWidth="1"/>
    <col min="49" max="49" width="11.28515625" customWidth="1"/>
    <col min="50" max="50" width="11.140625" customWidth="1"/>
    <col min="51" max="51" width="11" customWidth="1"/>
    <col min="52" max="52" width="13.28515625" customWidth="1"/>
    <col min="53" max="53" width="8.7109375" customWidth="1"/>
    <col min="54" max="54" width="5.42578125" customWidth="1"/>
    <col min="55" max="55" width="10.7109375" customWidth="1"/>
    <col min="56" max="56" width="10.140625" customWidth="1"/>
    <col min="57" max="57" width="11.7109375" customWidth="1"/>
    <col min="58" max="58" width="14.28515625" customWidth="1"/>
    <col min="59" max="59" width="10.28515625" customWidth="1"/>
    <col min="60" max="60" width="11" customWidth="1"/>
    <col min="61" max="61" width="11.7109375" customWidth="1"/>
    <col min="62" max="62" width="11.42578125" customWidth="1"/>
    <col min="63" max="63" width="14.140625" customWidth="1"/>
    <col min="64" max="64" width="18.140625" customWidth="1"/>
    <col min="65" max="65" width="10.140625" customWidth="1"/>
    <col min="66" max="66" width="11.85546875" customWidth="1"/>
    <col min="68" max="68" width="14.5703125" customWidth="1"/>
    <col min="72" max="72" width="12.5703125" customWidth="1"/>
  </cols>
  <sheetData>
    <row r="1" spans="1:74" ht="14.45" customHeight="1" x14ac:dyDescent="0.25">
      <c r="A1">
        <f>COUNTIF(A4:A47,"&lt;&gt;")</f>
        <v>17</v>
      </c>
      <c r="B1">
        <f>COUNTIF(B4:B47,"&lt;&gt;")</f>
        <v>7</v>
      </c>
      <c r="C1">
        <f>COUNTIF(C4:C50,"&lt;&gt;")</f>
        <v>14</v>
      </c>
      <c r="D1">
        <f>COUNTIF(D4:D49,"&lt;&gt;")</f>
        <v>21</v>
      </c>
      <c r="E1">
        <f>COUNTIF(E4:E51,"&lt;&gt;")</f>
        <v>16</v>
      </c>
      <c r="F1">
        <f>COUNTIF(F4:F51,"&lt;&gt;")</f>
        <v>15</v>
      </c>
      <c r="G1">
        <f>COUNTIF(G4:G46,"&lt;&gt;")</f>
        <v>17</v>
      </c>
      <c r="H1">
        <f>COUNTIF(H4:H45,"&lt;&gt;")</f>
        <v>18</v>
      </c>
      <c r="I1">
        <f>COUNTIF(I4:I54,"&lt;&gt;")</f>
        <v>19</v>
      </c>
      <c r="J1">
        <f>COUNTIF(J4:J55,"&lt;&gt;")</f>
        <v>14</v>
      </c>
      <c r="K1">
        <f>COUNTIF(K4:K55,"&lt;&gt;")</f>
        <v>1</v>
      </c>
      <c r="L1">
        <f>COUNTIF(L4:L53,"&lt;&gt;")</f>
        <v>23</v>
      </c>
      <c r="M1">
        <f>COUNTIF(M4:M53,"&lt;&gt;")</f>
        <v>33</v>
      </c>
      <c r="N1">
        <f>COUNTIF(N4:N52,"&lt;&gt;")</f>
        <v>27</v>
      </c>
      <c r="O1">
        <f>COUNTIF(O4:O53,"&lt;&gt;")</f>
        <v>19</v>
      </c>
      <c r="P1">
        <f>COUNTIF(P4:P55,"&lt;&gt;")</f>
        <v>10</v>
      </c>
      <c r="Q1">
        <f>COUNTIF(Q4:Q53,"&lt;&gt;")</f>
        <v>8</v>
      </c>
      <c r="R1">
        <f>COUNTIF(R4:R53,"&lt;&gt;")</f>
        <v>28</v>
      </c>
      <c r="S1">
        <f>COUNTIF(S4:S55,"&lt;&gt;")</f>
        <v>19</v>
      </c>
      <c r="T1">
        <f>COUNTIF(T4:T55,"&lt;&gt;")</f>
        <v>21</v>
      </c>
      <c r="U1">
        <f>COUNTIF(U4:U55,"&lt;&gt;")</f>
        <v>21</v>
      </c>
      <c r="V1">
        <f>COUNTIF(V4:V55,"&lt;&gt;")</f>
        <v>31</v>
      </c>
      <c r="W1">
        <f>COUNTIF(W4:W55,"&lt;&gt;")</f>
        <v>25</v>
      </c>
      <c r="X1">
        <f>COUNTIF(X4:X53,"&lt;&gt;")</f>
        <v>22</v>
      </c>
      <c r="Y1">
        <f>COUNTIF(Y4:Y55,"&lt;&gt;")</f>
        <v>24</v>
      </c>
      <c r="Z1">
        <f>COUNTIF(Z4:Z55,"&lt;&gt;")</f>
        <v>22</v>
      </c>
      <c r="AA1">
        <f>COUNTIF(AA4:AA55,"&lt;&gt;")</f>
        <v>22</v>
      </c>
      <c r="AB1">
        <f>COUNTIF(AB4:AB55,"&lt;&gt;")</f>
        <v>23</v>
      </c>
      <c r="AC1">
        <f>COUNTIF(AC4:AC55,"&lt;&gt;")</f>
        <v>24</v>
      </c>
      <c r="AD1">
        <f>COUNTIF(AD4:AD55,"&lt;&gt;")</f>
        <v>20</v>
      </c>
      <c r="AE1">
        <f>COUNTIF(AE4:AE54,"&lt;&gt;")</f>
        <v>20</v>
      </c>
      <c r="AF1">
        <f>COUNTIF(AF4:AF55,"&lt;&gt;")</f>
        <v>21</v>
      </c>
      <c r="AG1">
        <f>COUNTIF(AG4:AG55,"&lt;&gt;")</f>
        <v>18</v>
      </c>
      <c r="AH1">
        <f>COUNTIF(AH4:AH55,"&lt;&gt;")</f>
        <v>2</v>
      </c>
      <c r="AI1">
        <f>COUNTIF(AI4:AI53,"&lt;&gt;")</f>
        <v>18</v>
      </c>
      <c r="AJ1">
        <f>COUNTIF(AJ4:AJ53,"&lt;&gt;")</f>
        <v>16</v>
      </c>
      <c r="AK1">
        <f>COUNTIF(AK4:AK54,"&lt;&gt;")</f>
        <v>27</v>
      </c>
      <c r="AL1">
        <f>COUNTIF(AL4:AL49,"&lt;&gt;")</f>
        <v>25</v>
      </c>
      <c r="AM1">
        <f>COUNTIF(AM4:AM54,"&lt;&gt;")</f>
        <v>23</v>
      </c>
      <c r="AN1">
        <f>COUNTIF(AN4:AN50,"&lt;&gt;")</f>
        <v>35</v>
      </c>
      <c r="AO1">
        <f>COUNTIF(AO4:AO54,"&lt;&gt;")</f>
        <v>20</v>
      </c>
      <c r="AP1">
        <f>COUNTIF(AP4:AP55,"&lt;&gt;")</f>
        <v>23</v>
      </c>
      <c r="AQ1">
        <f>COUNTIF(AQ4:AQ54,"&lt;&gt;")</f>
        <v>27</v>
      </c>
      <c r="AR1">
        <f>COUNTIF(AR4:AR54,"&lt;&gt;")</f>
        <v>13</v>
      </c>
      <c r="AS1">
        <f>COUNTIF(AS4:AS54,"&lt;&gt;")</f>
        <v>19</v>
      </c>
      <c r="AT1">
        <f>COUNTIF(AT4:AT52,"&lt;&gt;")</f>
        <v>17</v>
      </c>
      <c r="AU1">
        <f>COUNTIF(AU4:AU55,"&lt;&gt;")</f>
        <v>22</v>
      </c>
      <c r="AV1">
        <f>COUNTIF(AV4:AV53,"&lt;&gt;")</f>
        <v>16</v>
      </c>
      <c r="AW1">
        <f>COUNTIF(AW4:AW47,"&lt;&gt;")</f>
        <v>44</v>
      </c>
      <c r="AX1">
        <f>COUNTIF(AX4:AX54,"&lt;&gt;")</f>
        <v>19</v>
      </c>
      <c r="AY1">
        <f>COUNTIF(AY4:AY53,"&lt;&gt;")</f>
        <v>16</v>
      </c>
      <c r="AZ1">
        <f>COUNTIF(AZ4:AZ54,"&lt;&gt;")</f>
        <v>21</v>
      </c>
      <c r="BA1">
        <f>COUNTIF(BA4:BA54,"&lt;&gt;")</f>
        <v>12</v>
      </c>
      <c r="BB1">
        <f>COUNTIF(BB4:BB55,"&lt;&gt;")</f>
        <v>24</v>
      </c>
      <c r="BC1">
        <f>COUNTIF(BC4:BC54,"&lt;&gt;")</f>
        <v>10</v>
      </c>
      <c r="BD1">
        <f>COUNTIF(BD4:BD55,"&lt;&gt;")</f>
        <v>27</v>
      </c>
      <c r="BE1">
        <f>COUNTIF(BE4:BE55,"&lt;&gt;")</f>
        <v>23</v>
      </c>
      <c r="BF1">
        <f>COUNTIF(BF4:BF53,"&lt;&gt;")</f>
        <v>27</v>
      </c>
      <c r="BG1">
        <f>COUNTIF(BG4:BG54,"&lt;&gt;")</f>
        <v>24</v>
      </c>
      <c r="BH1">
        <f>COUNTIF(BH4:BH55,"&lt;&gt;")</f>
        <v>22</v>
      </c>
      <c r="BI1">
        <f>COUNTIF(BI4:BI55,"&lt;&gt;")</f>
        <v>4</v>
      </c>
      <c r="BJ1">
        <f>COUNTIF(BJ4:BJ55,"&lt;&gt;")</f>
        <v>17</v>
      </c>
      <c r="BK1">
        <f>COUNTIF(BK4:BK55,"&lt;&gt;")</f>
        <v>18</v>
      </c>
      <c r="BL1">
        <f>COUNTIF(BL4:BL55,"&lt;&gt;")</f>
        <v>21</v>
      </c>
      <c r="BM1">
        <f>COUNTIF(BM4:BM54,"&lt;&gt;")</f>
        <v>18</v>
      </c>
      <c r="BN1">
        <f>COUNTIF(BN4:BN54,"&lt;&gt;")</f>
        <v>24</v>
      </c>
      <c r="BO1">
        <f>COUNTIF(BO4:BO55,"&lt;&gt;")</f>
        <v>17</v>
      </c>
      <c r="BP1">
        <f>COUNTIF(BP4:BP55,"&lt;&gt;")</f>
        <v>2</v>
      </c>
      <c r="BQ1">
        <f>COUNTIF(BQ4:BQ55,"&lt;&gt;")</f>
        <v>5</v>
      </c>
      <c r="BR1">
        <f>COUNTIF(BR4:BR55,"&lt;&gt;")</f>
        <v>7</v>
      </c>
      <c r="BS1">
        <f>COUNTIF(BS4:BS55,"&lt;&gt;")</f>
        <v>3</v>
      </c>
      <c r="BT1">
        <f>COUNTIF(BT4:BT55,"&lt;&gt;")</f>
        <v>1</v>
      </c>
      <c r="BU1">
        <f>COUNTIF(BU4:BU55,"&lt;&gt;")</f>
        <v>1</v>
      </c>
      <c r="BV1">
        <f>COUNTIF(BV4:BV55,"&lt;&gt;")</f>
        <v>1</v>
      </c>
    </row>
    <row r="2" spans="1:74" ht="14.45" customHeight="1" x14ac:dyDescent="0.25">
      <c r="A2" t="s">
        <v>529</v>
      </c>
      <c r="B2" t="s">
        <v>529</v>
      </c>
      <c r="C2" t="s">
        <v>529</v>
      </c>
      <c r="D2" t="s">
        <v>529</v>
      </c>
      <c r="E2" t="s">
        <v>529</v>
      </c>
      <c r="F2" t="s">
        <v>529</v>
      </c>
      <c r="G2" t="s">
        <v>529</v>
      </c>
      <c r="H2" t="s">
        <v>529</v>
      </c>
      <c r="I2" t="s">
        <v>529</v>
      </c>
      <c r="J2" t="s">
        <v>529</v>
      </c>
      <c r="K2" t="s">
        <v>529</v>
      </c>
      <c r="L2" t="s">
        <v>531</v>
      </c>
      <c r="M2" t="s">
        <v>531</v>
      </c>
      <c r="N2" t="s">
        <v>531</v>
      </c>
      <c r="O2" t="s">
        <v>531</v>
      </c>
      <c r="P2" t="s">
        <v>531</v>
      </c>
      <c r="Q2" t="s">
        <v>531</v>
      </c>
      <c r="R2" t="s">
        <v>531</v>
      </c>
      <c r="S2" t="s">
        <v>531</v>
      </c>
      <c r="T2" t="s">
        <v>531</v>
      </c>
      <c r="U2" t="s">
        <v>531</v>
      </c>
      <c r="V2" t="s">
        <v>531</v>
      </c>
      <c r="W2" t="s">
        <v>531</v>
      </c>
      <c r="X2" t="s">
        <v>531</v>
      </c>
      <c r="Y2" t="s">
        <v>531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 t="s">
        <v>530</v>
      </c>
      <c r="AJ2" t="s">
        <v>530</v>
      </c>
      <c r="AK2" t="s">
        <v>530</v>
      </c>
      <c r="AL2" t="s">
        <v>530</v>
      </c>
      <c r="AM2" t="s">
        <v>530</v>
      </c>
      <c r="AN2" t="s">
        <v>530</v>
      </c>
      <c r="AO2" t="s">
        <v>530</v>
      </c>
      <c r="AP2" t="s">
        <v>530</v>
      </c>
      <c r="AQ2" t="s">
        <v>530</v>
      </c>
      <c r="AR2" t="s">
        <v>530</v>
      </c>
      <c r="AS2" t="s">
        <v>530</v>
      </c>
      <c r="AT2" t="s">
        <v>530</v>
      </c>
      <c r="AU2" t="s">
        <v>530</v>
      </c>
      <c r="AV2" t="s">
        <v>530</v>
      </c>
      <c r="AW2" t="s">
        <v>530</v>
      </c>
      <c r="AX2" t="s">
        <v>530</v>
      </c>
      <c r="AY2" t="s">
        <v>530</v>
      </c>
      <c r="AZ2" t="s">
        <v>530</v>
      </c>
      <c r="BA2" t="s">
        <v>530</v>
      </c>
      <c r="BB2" t="s">
        <v>530</v>
      </c>
      <c r="BC2" t="s">
        <v>530</v>
      </c>
      <c r="BD2" t="s">
        <v>530</v>
      </c>
      <c r="BE2" t="s">
        <v>530</v>
      </c>
      <c r="BF2" t="s">
        <v>530</v>
      </c>
      <c r="BG2" t="s">
        <v>530</v>
      </c>
      <c r="BH2" t="s">
        <v>530</v>
      </c>
      <c r="BI2" t="s">
        <v>530</v>
      </c>
      <c r="BJ2" t="s">
        <v>530</v>
      </c>
      <c r="BK2" t="s">
        <v>530</v>
      </c>
      <c r="BL2" t="s">
        <v>530</v>
      </c>
      <c r="BM2" t="s">
        <v>530</v>
      </c>
      <c r="BN2" t="s">
        <v>530</v>
      </c>
      <c r="BO2" t="s">
        <v>530</v>
      </c>
      <c r="BP2" t="s">
        <v>530</v>
      </c>
      <c r="BQ2" t="s">
        <v>530</v>
      </c>
      <c r="BR2" t="s">
        <v>530</v>
      </c>
      <c r="BS2" t="s">
        <v>530</v>
      </c>
      <c r="BT2" t="s">
        <v>530</v>
      </c>
      <c r="BU2" t="s">
        <v>530</v>
      </c>
      <c r="BV2" t="s">
        <v>530</v>
      </c>
    </row>
    <row r="3" spans="1:74" ht="15" customHeight="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73</v>
      </c>
      <c r="L3" t="s">
        <v>11</v>
      </c>
      <c r="M3" t="s">
        <v>12</v>
      </c>
      <c r="N3" t="s">
        <v>16</v>
      </c>
      <c r="O3" t="s">
        <v>23</v>
      </c>
      <c r="P3" t="s">
        <v>24</v>
      </c>
      <c r="Q3" t="s">
        <v>25</v>
      </c>
      <c r="R3" t="s">
        <v>26</v>
      </c>
      <c r="S3" t="s">
        <v>36</v>
      </c>
      <c r="T3" t="s">
        <v>37</v>
      </c>
      <c r="U3" t="s">
        <v>38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  <c r="AB3" t="s">
        <v>53</v>
      </c>
      <c r="AC3" t="s">
        <v>54</v>
      </c>
      <c r="AD3" t="s">
        <v>55</v>
      </c>
      <c r="AE3" t="s">
        <v>58</v>
      </c>
      <c r="AF3" t="s">
        <v>59</v>
      </c>
      <c r="AG3" t="s">
        <v>60</v>
      </c>
      <c r="AH3" t="s">
        <v>61</v>
      </c>
      <c r="AI3" t="s">
        <v>10</v>
      </c>
      <c r="AJ3" t="s">
        <v>13</v>
      </c>
      <c r="AK3" t="s">
        <v>14</v>
      </c>
      <c r="AL3" t="s">
        <v>15</v>
      </c>
      <c r="AM3" t="s">
        <v>17</v>
      </c>
      <c r="AN3" t="s">
        <v>18</v>
      </c>
      <c r="AO3" t="s">
        <v>19</v>
      </c>
      <c r="AP3" t="s">
        <v>20</v>
      </c>
      <c r="AQ3" t="s">
        <v>21</v>
      </c>
      <c r="AR3" t="s">
        <v>22</v>
      </c>
      <c r="AS3" t="s">
        <v>27</v>
      </c>
      <c r="AT3" t="s">
        <v>28</v>
      </c>
      <c r="AU3" t="s">
        <v>29</v>
      </c>
      <c r="AV3" t="s">
        <v>30</v>
      </c>
      <c r="AW3" t="s">
        <v>31</v>
      </c>
      <c r="AX3" t="s">
        <v>32</v>
      </c>
      <c r="AY3" t="s">
        <v>33</v>
      </c>
      <c r="AZ3" t="s">
        <v>34</v>
      </c>
      <c r="BA3" t="s">
        <v>35</v>
      </c>
      <c r="BB3" t="s">
        <v>39</v>
      </c>
      <c r="BC3" t="s">
        <v>40</v>
      </c>
      <c r="BD3" t="s">
        <v>41</v>
      </c>
      <c r="BE3" t="s">
        <v>42</v>
      </c>
      <c r="BF3" t="s">
        <v>43</v>
      </c>
      <c r="BG3" t="s">
        <v>44</v>
      </c>
      <c r="BH3" t="s">
        <v>45</v>
      </c>
      <c r="BI3" t="s">
        <v>52</v>
      </c>
      <c r="BJ3" t="s">
        <v>56</v>
      </c>
      <c r="BK3" t="s">
        <v>57</v>
      </c>
      <c r="BL3" t="s">
        <v>62</v>
      </c>
      <c r="BM3" t="s">
        <v>63</v>
      </c>
      <c r="BN3" t="s">
        <v>64</v>
      </c>
      <c r="BO3" t="s">
        <v>65</v>
      </c>
      <c r="BP3" t="s">
        <v>66</v>
      </c>
      <c r="BQ3" t="s">
        <v>67</v>
      </c>
      <c r="BR3" t="s">
        <v>68</v>
      </c>
      <c r="BS3" t="s">
        <v>69</v>
      </c>
      <c r="BT3" t="s">
        <v>70</v>
      </c>
      <c r="BU3" t="s">
        <v>71</v>
      </c>
      <c r="BV3" t="s">
        <v>72</v>
      </c>
    </row>
    <row r="4" spans="1:74" ht="15" customHeight="1" thickBot="1" x14ac:dyDescent="0.3">
      <c r="A4" t="s">
        <v>74</v>
      </c>
      <c r="B4" t="s">
        <v>75</v>
      </c>
      <c r="C4" t="s">
        <v>75</v>
      </c>
      <c r="D4" t="s">
        <v>76</v>
      </c>
      <c r="E4" t="s">
        <v>77</v>
      </c>
      <c r="F4" t="s">
        <v>74</v>
      </c>
      <c r="G4" t="s">
        <v>74</v>
      </c>
      <c r="H4" t="s">
        <v>77</v>
      </c>
      <c r="I4" t="s">
        <v>74</v>
      </c>
      <c r="J4" t="s">
        <v>75</v>
      </c>
      <c r="K4" s="39" t="s">
        <v>91</v>
      </c>
      <c r="L4" t="s">
        <v>76</v>
      </c>
      <c r="M4" t="s">
        <v>78</v>
      </c>
      <c r="N4" t="s">
        <v>74</v>
      </c>
      <c r="O4" t="s">
        <v>76</v>
      </c>
      <c r="P4" t="s">
        <v>75</v>
      </c>
      <c r="Q4" t="s">
        <v>76</v>
      </c>
      <c r="R4" t="s">
        <v>74</v>
      </c>
      <c r="S4" t="s">
        <v>74</v>
      </c>
      <c r="T4" t="s">
        <v>82</v>
      </c>
      <c r="U4" t="s">
        <v>83</v>
      </c>
      <c r="V4" t="s">
        <v>74</v>
      </c>
      <c r="W4" t="s">
        <v>74</v>
      </c>
      <c r="X4" t="s">
        <v>74</v>
      </c>
      <c r="Y4" t="s">
        <v>74</v>
      </c>
      <c r="Z4" t="s">
        <v>74</v>
      </c>
      <c r="AA4" t="s">
        <v>74</v>
      </c>
      <c r="AB4" t="s">
        <v>78</v>
      </c>
      <c r="AC4" t="s">
        <v>75</v>
      </c>
      <c r="AD4" t="s">
        <v>78</v>
      </c>
      <c r="AE4" t="s">
        <v>75</v>
      </c>
      <c r="AF4" t="s">
        <v>77</v>
      </c>
      <c r="AG4" t="s">
        <v>77</v>
      </c>
      <c r="AH4" t="s">
        <v>77</v>
      </c>
      <c r="AI4" t="s">
        <v>76</v>
      </c>
      <c r="AJ4" t="s">
        <v>79</v>
      </c>
      <c r="AK4" t="s">
        <v>74</v>
      </c>
      <c r="AL4" t="s">
        <v>78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75</v>
      </c>
      <c r="AS4" t="s">
        <v>77</v>
      </c>
      <c r="AT4" t="s">
        <v>77</v>
      </c>
      <c r="AU4" t="s">
        <v>76</v>
      </c>
      <c r="AV4" t="s">
        <v>80</v>
      </c>
      <c r="AW4" t="s">
        <v>74</v>
      </c>
      <c r="AX4" t="s">
        <v>81</v>
      </c>
      <c r="AY4" t="s">
        <v>77</v>
      </c>
      <c r="AZ4" t="s">
        <v>74</v>
      </c>
      <c r="BA4" t="s">
        <v>77</v>
      </c>
      <c r="BB4" t="s">
        <v>74</v>
      </c>
      <c r="BC4" t="s">
        <v>74</v>
      </c>
      <c r="BD4" t="s">
        <v>74</v>
      </c>
      <c r="BE4" t="s">
        <v>74</v>
      </c>
      <c r="BF4" t="s">
        <v>74</v>
      </c>
      <c r="BG4" t="s">
        <v>74</v>
      </c>
      <c r="BH4" t="s">
        <v>74</v>
      </c>
      <c r="BI4" t="s">
        <v>78</v>
      </c>
      <c r="BJ4" t="s">
        <v>76</v>
      </c>
      <c r="BK4" t="s">
        <v>75</v>
      </c>
      <c r="BL4" t="s">
        <v>77</v>
      </c>
      <c r="BM4" t="s">
        <v>80</v>
      </c>
      <c r="BN4" t="s">
        <v>81</v>
      </c>
      <c r="BO4" t="s">
        <v>84</v>
      </c>
      <c r="BP4" t="s">
        <v>85</v>
      </c>
      <c r="BQ4" t="s">
        <v>86</v>
      </c>
      <c r="BR4" t="s">
        <v>87</v>
      </c>
      <c r="BS4" s="1" t="s">
        <v>88</v>
      </c>
      <c r="BT4" s="1" t="s">
        <v>87</v>
      </c>
      <c r="BU4" s="1" t="s">
        <v>89</v>
      </c>
      <c r="BV4" s="1" t="s">
        <v>90</v>
      </c>
    </row>
    <row r="5" spans="1:74" ht="15" customHeight="1" thickBot="1" x14ac:dyDescent="0.3">
      <c r="A5" t="s">
        <v>75</v>
      </c>
      <c r="B5" t="s">
        <v>83</v>
      </c>
      <c r="C5" t="s">
        <v>83</v>
      </c>
      <c r="D5" t="s">
        <v>75</v>
      </c>
      <c r="E5" t="s">
        <v>81</v>
      </c>
      <c r="F5" t="s">
        <v>75</v>
      </c>
      <c r="G5" t="s">
        <v>76</v>
      </c>
      <c r="H5" t="s">
        <v>93</v>
      </c>
      <c r="I5" t="s">
        <v>75</v>
      </c>
      <c r="J5" t="s">
        <v>81</v>
      </c>
      <c r="L5" t="s">
        <v>75</v>
      </c>
      <c r="M5" t="s">
        <v>76</v>
      </c>
      <c r="N5" t="s">
        <v>76</v>
      </c>
      <c r="O5" t="s">
        <v>75</v>
      </c>
      <c r="P5" t="s">
        <v>74</v>
      </c>
      <c r="Q5" t="s">
        <v>75</v>
      </c>
      <c r="R5" t="s">
        <v>76</v>
      </c>
      <c r="S5" t="s">
        <v>82</v>
      </c>
      <c r="T5" t="s">
        <v>94</v>
      </c>
      <c r="U5" t="s">
        <v>82</v>
      </c>
      <c r="V5" t="s">
        <v>78</v>
      </c>
      <c r="W5" t="s">
        <v>76</v>
      </c>
      <c r="X5" t="s">
        <v>77</v>
      </c>
      <c r="Y5" t="s">
        <v>78</v>
      </c>
      <c r="Z5" t="s">
        <v>78</v>
      </c>
      <c r="AA5" t="s">
        <v>75</v>
      </c>
      <c r="AB5" t="s">
        <v>76</v>
      </c>
      <c r="AC5" t="s">
        <v>78</v>
      </c>
      <c r="AD5" t="s">
        <v>79</v>
      </c>
      <c r="AE5" t="s">
        <v>83</v>
      </c>
      <c r="AF5" t="s">
        <v>79</v>
      </c>
      <c r="AG5" t="s">
        <v>95</v>
      </c>
      <c r="AH5" s="39" t="s">
        <v>94</v>
      </c>
      <c r="AI5" t="s">
        <v>75</v>
      </c>
      <c r="AJ5" t="s">
        <v>84</v>
      </c>
      <c r="AK5" t="s">
        <v>76</v>
      </c>
      <c r="AL5" t="s">
        <v>75</v>
      </c>
      <c r="AM5" t="s">
        <v>75</v>
      </c>
      <c r="AN5" t="s">
        <v>75</v>
      </c>
      <c r="AO5" t="s">
        <v>75</v>
      </c>
      <c r="AP5" t="s">
        <v>76</v>
      </c>
      <c r="AQ5" t="s">
        <v>75</v>
      </c>
      <c r="AR5" t="s">
        <v>77</v>
      </c>
      <c r="AS5" t="s">
        <v>79</v>
      </c>
      <c r="AT5" t="s">
        <v>79</v>
      </c>
      <c r="AU5" t="s">
        <v>81</v>
      </c>
      <c r="AV5" t="s">
        <v>83</v>
      </c>
      <c r="AW5" t="s">
        <v>78</v>
      </c>
      <c r="AX5" t="s">
        <v>94</v>
      </c>
      <c r="AY5" t="s">
        <v>79</v>
      </c>
      <c r="AZ5" t="s">
        <v>84</v>
      </c>
      <c r="BA5" t="s">
        <v>83</v>
      </c>
      <c r="BB5" t="s">
        <v>75</v>
      </c>
      <c r="BC5" t="s">
        <v>75</v>
      </c>
      <c r="BD5" t="s">
        <v>75</v>
      </c>
      <c r="BE5" t="s">
        <v>74</v>
      </c>
      <c r="BF5" t="s">
        <v>76</v>
      </c>
      <c r="BG5" t="s">
        <v>76</v>
      </c>
      <c r="BH5" t="s">
        <v>84</v>
      </c>
      <c r="BI5" t="s">
        <v>85</v>
      </c>
      <c r="BJ5" s="2" t="s">
        <v>80</v>
      </c>
      <c r="BK5" t="s">
        <v>83</v>
      </c>
      <c r="BL5" t="s">
        <v>79</v>
      </c>
      <c r="BM5" t="s">
        <v>83</v>
      </c>
      <c r="BN5" t="s">
        <v>96</v>
      </c>
      <c r="BO5" s="2" t="s">
        <v>85</v>
      </c>
      <c r="BP5" s="39" t="s">
        <v>97</v>
      </c>
      <c r="BQ5" t="s">
        <v>98</v>
      </c>
      <c r="BR5" s="1" t="s">
        <v>99</v>
      </c>
      <c r="BS5" s="39" t="s">
        <v>91</v>
      </c>
    </row>
    <row r="6" spans="1:74" ht="15" customHeight="1" thickBot="1" x14ac:dyDescent="0.3">
      <c r="A6" t="s">
        <v>83</v>
      </c>
      <c r="B6" t="s">
        <v>94</v>
      </c>
      <c r="C6" t="s">
        <v>94</v>
      </c>
      <c r="D6" t="s">
        <v>74</v>
      </c>
      <c r="E6" t="s">
        <v>85</v>
      </c>
      <c r="F6" t="s">
        <v>81</v>
      </c>
      <c r="G6" t="s">
        <v>75</v>
      </c>
      <c r="H6" t="s">
        <v>85</v>
      </c>
      <c r="I6" t="s">
        <v>83</v>
      </c>
      <c r="J6" t="s">
        <v>100</v>
      </c>
      <c r="L6" t="s">
        <v>77</v>
      </c>
      <c r="M6" t="s">
        <v>75</v>
      </c>
      <c r="N6" t="s">
        <v>83</v>
      </c>
      <c r="O6" t="s">
        <v>83</v>
      </c>
      <c r="P6" t="s">
        <v>97</v>
      </c>
      <c r="Q6" t="s">
        <v>85</v>
      </c>
      <c r="R6" t="s">
        <v>75</v>
      </c>
      <c r="S6" t="s">
        <v>94</v>
      </c>
      <c r="T6" t="s">
        <v>86</v>
      </c>
      <c r="U6" t="s">
        <v>94</v>
      </c>
      <c r="V6" t="s">
        <v>75</v>
      </c>
      <c r="W6" t="s">
        <v>81</v>
      </c>
      <c r="X6" t="s">
        <v>81</v>
      </c>
      <c r="Y6" t="s">
        <v>83</v>
      </c>
      <c r="Z6" t="s">
        <v>77</v>
      </c>
      <c r="AA6" t="s">
        <v>94</v>
      </c>
      <c r="AB6" t="s">
        <v>75</v>
      </c>
      <c r="AC6" t="s">
        <v>77</v>
      </c>
      <c r="AD6" t="s">
        <v>86</v>
      </c>
      <c r="AE6" t="s">
        <v>94</v>
      </c>
      <c r="AF6" t="s">
        <v>84</v>
      </c>
      <c r="AG6" t="s">
        <v>104</v>
      </c>
      <c r="AI6" t="s">
        <v>83</v>
      </c>
      <c r="AJ6" t="s">
        <v>101</v>
      </c>
      <c r="AK6" t="s">
        <v>75</v>
      </c>
      <c r="AL6" t="s">
        <v>77</v>
      </c>
      <c r="AM6" t="s">
        <v>74</v>
      </c>
      <c r="AN6" t="s">
        <v>77</v>
      </c>
      <c r="AO6" t="s">
        <v>94</v>
      </c>
      <c r="AP6" t="s">
        <v>80</v>
      </c>
      <c r="AQ6" t="s">
        <v>77</v>
      </c>
      <c r="AR6" t="s">
        <v>102</v>
      </c>
      <c r="AS6" t="s">
        <v>94</v>
      </c>
      <c r="AT6" t="s">
        <v>94</v>
      </c>
      <c r="AU6" t="s">
        <v>94</v>
      </c>
      <c r="AV6" t="s">
        <v>103</v>
      </c>
      <c r="AW6" t="s">
        <v>75</v>
      </c>
      <c r="AX6" t="s">
        <v>85</v>
      </c>
      <c r="AY6" t="s">
        <v>85</v>
      </c>
      <c r="AZ6" t="s">
        <v>86</v>
      </c>
      <c r="BA6" t="s">
        <v>94</v>
      </c>
      <c r="BB6" t="s">
        <v>77</v>
      </c>
      <c r="BC6" t="s">
        <v>77</v>
      </c>
      <c r="BD6" t="s">
        <v>79</v>
      </c>
      <c r="BE6" t="s">
        <v>77</v>
      </c>
      <c r="BF6" t="s">
        <v>74</v>
      </c>
      <c r="BG6" t="s">
        <v>81</v>
      </c>
      <c r="BH6" t="s">
        <v>101</v>
      </c>
      <c r="BI6" t="s">
        <v>77</v>
      </c>
      <c r="BJ6" t="s">
        <v>83</v>
      </c>
      <c r="BK6" t="s">
        <v>94</v>
      </c>
      <c r="BL6" t="s">
        <v>86</v>
      </c>
      <c r="BM6" t="s">
        <v>84</v>
      </c>
      <c r="BN6" t="s">
        <v>97</v>
      </c>
      <c r="BO6" t="s">
        <v>86</v>
      </c>
      <c r="BQ6" t="s">
        <v>105</v>
      </c>
      <c r="BR6" s="3" t="s">
        <v>106</v>
      </c>
      <c r="BS6" s="39" t="s">
        <v>107</v>
      </c>
    </row>
    <row r="7" spans="1:74" ht="15" customHeight="1" thickBot="1" x14ac:dyDescent="0.3">
      <c r="A7" t="s">
        <v>94</v>
      </c>
      <c r="B7" t="s">
        <v>86</v>
      </c>
      <c r="C7" t="s">
        <v>74</v>
      </c>
      <c r="D7" t="s">
        <v>93</v>
      </c>
      <c r="E7" t="s">
        <v>108</v>
      </c>
      <c r="F7" t="s">
        <v>85</v>
      </c>
      <c r="G7" t="s">
        <v>83</v>
      </c>
      <c r="H7" t="s">
        <v>108</v>
      </c>
      <c r="I7" t="s">
        <v>81</v>
      </c>
      <c r="J7" t="s">
        <v>101</v>
      </c>
      <c r="L7" t="s">
        <v>94</v>
      </c>
      <c r="M7" t="s">
        <v>77</v>
      </c>
      <c r="N7" t="s">
        <v>94</v>
      </c>
      <c r="O7" t="s">
        <v>94</v>
      </c>
      <c r="P7" t="s">
        <v>111</v>
      </c>
      <c r="Q7" t="s">
        <v>101</v>
      </c>
      <c r="R7" t="s">
        <v>77</v>
      </c>
      <c r="S7" t="s">
        <v>113</v>
      </c>
      <c r="T7" t="s">
        <v>112</v>
      </c>
      <c r="U7" t="s">
        <v>113</v>
      </c>
      <c r="V7" t="s">
        <v>76</v>
      </c>
      <c r="W7" t="s">
        <v>84</v>
      </c>
      <c r="X7" t="s">
        <v>114</v>
      </c>
      <c r="Y7" t="s">
        <v>79</v>
      </c>
      <c r="Z7" t="s">
        <v>114</v>
      </c>
      <c r="AA7" t="s">
        <v>115</v>
      </c>
      <c r="AB7" t="s">
        <v>94</v>
      </c>
      <c r="AC7" t="s">
        <v>83</v>
      </c>
      <c r="AD7" t="s">
        <v>112</v>
      </c>
      <c r="AE7" t="s">
        <v>74</v>
      </c>
      <c r="AF7" t="s">
        <v>86</v>
      </c>
      <c r="AG7" t="s">
        <v>116</v>
      </c>
      <c r="AI7" t="s">
        <v>79</v>
      </c>
      <c r="AJ7" t="s">
        <v>109</v>
      </c>
      <c r="AK7" t="s">
        <v>74</v>
      </c>
      <c r="AL7" t="s">
        <v>83</v>
      </c>
      <c r="AM7" t="s">
        <v>77</v>
      </c>
      <c r="AN7" t="s">
        <v>81</v>
      </c>
      <c r="AO7" t="s">
        <v>110</v>
      </c>
      <c r="AP7" t="s">
        <v>83</v>
      </c>
      <c r="AQ7" t="s">
        <v>94</v>
      </c>
      <c r="AR7" t="s">
        <v>111</v>
      </c>
      <c r="AS7" t="s">
        <v>74</v>
      </c>
      <c r="AT7" t="s">
        <v>86</v>
      </c>
      <c r="AU7" t="s">
        <v>84</v>
      </c>
      <c r="AV7" t="s">
        <v>96</v>
      </c>
      <c r="AW7" t="s">
        <v>77</v>
      </c>
      <c r="AX7" t="s">
        <v>112</v>
      </c>
      <c r="AY7" t="s">
        <v>103</v>
      </c>
      <c r="AZ7" t="s">
        <v>101</v>
      </c>
      <c r="BA7" s="2" t="s">
        <v>84</v>
      </c>
      <c r="BB7" t="s">
        <v>83</v>
      </c>
      <c r="BC7" t="s">
        <v>94</v>
      </c>
      <c r="BD7" t="s">
        <v>85</v>
      </c>
      <c r="BE7" t="s">
        <v>76</v>
      </c>
      <c r="BF7" t="s">
        <v>81</v>
      </c>
      <c r="BG7" t="s">
        <v>100</v>
      </c>
      <c r="BH7" t="s">
        <v>109</v>
      </c>
      <c r="BI7" s="39" t="s">
        <v>84</v>
      </c>
      <c r="BJ7" t="s">
        <v>85</v>
      </c>
      <c r="BK7" t="s">
        <v>85</v>
      </c>
      <c r="BL7" t="s">
        <v>101</v>
      </c>
      <c r="BM7" t="s">
        <v>101</v>
      </c>
      <c r="BN7" t="s">
        <v>104</v>
      </c>
      <c r="BO7" t="s">
        <v>103</v>
      </c>
      <c r="BQ7" t="s">
        <v>117</v>
      </c>
      <c r="BR7" t="s">
        <v>118</v>
      </c>
    </row>
    <row r="8" spans="1:74" ht="15" customHeight="1" thickBot="1" x14ac:dyDescent="0.3">
      <c r="A8" t="s">
        <v>85</v>
      </c>
      <c r="B8" s="4" t="s">
        <v>97</v>
      </c>
      <c r="C8" t="s">
        <v>100</v>
      </c>
      <c r="D8" t="s">
        <v>85</v>
      </c>
      <c r="E8" s="4" t="s">
        <v>119</v>
      </c>
      <c r="F8" t="s">
        <v>101</v>
      </c>
      <c r="G8" t="s">
        <v>82</v>
      </c>
      <c r="H8" t="s">
        <v>96</v>
      </c>
      <c r="I8" t="s">
        <v>86</v>
      </c>
      <c r="J8" t="s">
        <v>108</v>
      </c>
      <c r="L8" t="s">
        <v>74</v>
      </c>
      <c r="M8" t="s">
        <v>83</v>
      </c>
      <c r="N8" t="s">
        <v>77</v>
      </c>
      <c r="O8" t="s">
        <v>84</v>
      </c>
      <c r="P8" t="s">
        <v>116</v>
      </c>
      <c r="Q8" t="s">
        <v>103</v>
      </c>
      <c r="R8" t="s">
        <v>83</v>
      </c>
      <c r="S8" t="s">
        <v>95</v>
      </c>
      <c r="T8" t="s">
        <v>96</v>
      </c>
      <c r="U8" t="s">
        <v>95</v>
      </c>
      <c r="V8" t="s">
        <v>83</v>
      </c>
      <c r="W8" t="s">
        <v>101</v>
      </c>
      <c r="X8" t="s">
        <v>84</v>
      </c>
      <c r="Y8" t="s">
        <v>84</v>
      </c>
      <c r="Z8" t="s">
        <v>84</v>
      </c>
      <c r="AA8" t="s">
        <v>113</v>
      </c>
      <c r="AB8" t="s">
        <v>114</v>
      </c>
      <c r="AC8" t="s">
        <v>79</v>
      </c>
      <c r="AD8" t="s">
        <v>96</v>
      </c>
      <c r="AE8" t="s">
        <v>85</v>
      </c>
      <c r="AF8" t="s">
        <v>109</v>
      </c>
      <c r="AG8" t="s">
        <v>122</v>
      </c>
      <c r="AI8" t="s">
        <v>84</v>
      </c>
      <c r="AJ8" t="s">
        <v>120</v>
      </c>
      <c r="AK8" t="s">
        <v>83</v>
      </c>
      <c r="AL8" t="s">
        <v>94</v>
      </c>
      <c r="AM8" t="s">
        <v>79</v>
      </c>
      <c r="AN8" t="s">
        <v>76</v>
      </c>
      <c r="AO8" t="s">
        <v>85</v>
      </c>
      <c r="AP8" t="s">
        <v>94</v>
      </c>
      <c r="AQ8" t="s">
        <v>78</v>
      </c>
      <c r="AR8" t="s">
        <v>116</v>
      </c>
      <c r="AS8" t="s">
        <v>86</v>
      </c>
      <c r="AT8" t="s">
        <v>103</v>
      </c>
      <c r="AU8" t="s">
        <v>101</v>
      </c>
      <c r="AV8" t="s">
        <v>97</v>
      </c>
      <c r="AW8" t="s">
        <v>77</v>
      </c>
      <c r="AX8" t="s">
        <v>96</v>
      </c>
      <c r="AY8" t="s">
        <v>104</v>
      </c>
      <c r="AZ8" t="s">
        <v>109</v>
      </c>
      <c r="BA8" t="s">
        <v>121</v>
      </c>
      <c r="BB8" t="s">
        <v>94</v>
      </c>
      <c r="BC8" t="s">
        <v>110</v>
      </c>
      <c r="BD8" t="s">
        <v>115</v>
      </c>
      <c r="BE8" t="s">
        <v>79</v>
      </c>
      <c r="BF8" t="s">
        <v>94</v>
      </c>
      <c r="BG8" t="s">
        <v>112</v>
      </c>
      <c r="BH8" t="s">
        <v>103</v>
      </c>
      <c r="BJ8" t="s">
        <v>101</v>
      </c>
      <c r="BK8" t="s">
        <v>101</v>
      </c>
      <c r="BL8" t="s">
        <v>97</v>
      </c>
      <c r="BM8" t="s">
        <v>86</v>
      </c>
      <c r="BN8" t="s">
        <v>111</v>
      </c>
      <c r="BO8" t="s">
        <v>102</v>
      </c>
      <c r="BP8" s="2"/>
      <c r="BQ8" s="5" t="s">
        <v>91</v>
      </c>
      <c r="BR8" s="39" t="s">
        <v>123</v>
      </c>
    </row>
    <row r="9" spans="1:74" ht="15" customHeight="1" x14ac:dyDescent="0.25">
      <c r="A9" t="s">
        <v>101</v>
      </c>
      <c r="B9" t="s">
        <v>124</v>
      </c>
      <c r="C9" t="s">
        <v>108</v>
      </c>
      <c r="D9" t="s">
        <v>86</v>
      </c>
      <c r="E9" t="s">
        <v>98</v>
      </c>
      <c r="F9" s="4" t="s">
        <v>97</v>
      </c>
      <c r="G9" t="s">
        <v>93</v>
      </c>
      <c r="H9" t="s">
        <v>97</v>
      </c>
      <c r="I9" t="s">
        <v>96</v>
      </c>
      <c r="J9" s="4" t="s">
        <v>119</v>
      </c>
      <c r="L9" t="s">
        <v>115</v>
      </c>
      <c r="M9" t="s">
        <v>94</v>
      </c>
      <c r="N9" t="s">
        <v>84</v>
      </c>
      <c r="O9" t="s">
        <v>85</v>
      </c>
      <c r="P9" s="39" t="s">
        <v>125</v>
      </c>
      <c r="Q9" t="s">
        <v>111</v>
      </c>
      <c r="R9" t="s">
        <v>78</v>
      </c>
      <c r="S9" t="s">
        <v>120</v>
      </c>
      <c r="T9" t="s">
        <v>116</v>
      </c>
      <c r="U9" t="s">
        <v>120</v>
      </c>
      <c r="V9" t="s">
        <v>79</v>
      </c>
      <c r="W9" t="s">
        <v>104</v>
      </c>
      <c r="X9" t="s">
        <v>86</v>
      </c>
      <c r="Y9" s="6" t="s">
        <v>119</v>
      </c>
      <c r="Z9" t="s">
        <v>86</v>
      </c>
      <c r="AA9" t="s">
        <v>112</v>
      </c>
      <c r="AB9" t="s">
        <v>84</v>
      </c>
      <c r="AC9" t="s">
        <v>84</v>
      </c>
      <c r="AD9" t="s">
        <v>104</v>
      </c>
      <c r="AE9" t="s">
        <v>109</v>
      </c>
      <c r="AF9" t="s">
        <v>112</v>
      </c>
      <c r="AG9" t="s">
        <v>88</v>
      </c>
      <c r="AI9" t="s">
        <v>86</v>
      </c>
      <c r="AJ9" t="s">
        <v>111</v>
      </c>
      <c r="AK9" t="s">
        <v>94</v>
      </c>
      <c r="AL9" t="s">
        <v>112</v>
      </c>
      <c r="AM9" t="s">
        <v>84</v>
      </c>
      <c r="AN9" t="s">
        <v>112</v>
      </c>
      <c r="AO9" t="s">
        <v>112</v>
      </c>
      <c r="AP9" t="s">
        <v>100</v>
      </c>
      <c r="AQ9" t="s">
        <v>84</v>
      </c>
      <c r="AR9" t="s">
        <v>105</v>
      </c>
      <c r="AS9" t="s">
        <v>121</v>
      </c>
      <c r="AT9" t="s">
        <v>120</v>
      </c>
      <c r="AU9" t="s">
        <v>103</v>
      </c>
      <c r="AV9" t="s">
        <v>111</v>
      </c>
      <c r="AW9" t="s">
        <v>79</v>
      </c>
      <c r="AX9" t="s">
        <v>104</v>
      </c>
      <c r="AY9" t="s">
        <v>111</v>
      </c>
      <c r="AZ9" t="s">
        <v>112</v>
      </c>
      <c r="BA9" t="s">
        <v>97</v>
      </c>
      <c r="BB9" t="s">
        <v>110</v>
      </c>
      <c r="BC9" t="s">
        <v>103</v>
      </c>
      <c r="BD9" t="s">
        <v>101</v>
      </c>
      <c r="BE9" t="s">
        <v>93</v>
      </c>
      <c r="BF9" t="s">
        <v>112</v>
      </c>
      <c r="BG9" t="s">
        <v>103</v>
      </c>
      <c r="BH9" t="s">
        <v>120</v>
      </c>
      <c r="BJ9" t="s">
        <v>96</v>
      </c>
      <c r="BK9" t="s">
        <v>112</v>
      </c>
      <c r="BL9" t="s">
        <v>104</v>
      </c>
      <c r="BM9" t="s">
        <v>96</v>
      </c>
      <c r="BN9" t="s">
        <v>126</v>
      </c>
      <c r="BO9" t="s">
        <v>87</v>
      </c>
      <c r="BR9" t="s">
        <v>127</v>
      </c>
    </row>
    <row r="10" spans="1:74" ht="15" customHeight="1" thickBot="1" x14ac:dyDescent="0.3">
      <c r="A10" s="4" t="s">
        <v>97</v>
      </c>
      <c r="B10" s="2" t="s">
        <v>88</v>
      </c>
      <c r="C10" s="4" t="s">
        <v>111</v>
      </c>
      <c r="D10" t="s">
        <v>97</v>
      </c>
      <c r="E10" t="s">
        <v>118</v>
      </c>
      <c r="F10" t="s">
        <v>98</v>
      </c>
      <c r="G10" t="s">
        <v>86</v>
      </c>
      <c r="H10" s="4" t="s">
        <v>111</v>
      </c>
      <c r="I10" s="4" t="s">
        <v>111</v>
      </c>
      <c r="J10" t="s">
        <v>124</v>
      </c>
      <c r="L10" t="s">
        <v>113</v>
      </c>
      <c r="M10" t="s">
        <v>114</v>
      </c>
      <c r="N10" t="s">
        <v>86</v>
      </c>
      <c r="O10" t="s">
        <v>101</v>
      </c>
      <c r="P10" s="39" t="s">
        <v>130</v>
      </c>
      <c r="Q10" t="s">
        <v>127</v>
      </c>
      <c r="R10" t="s">
        <v>79</v>
      </c>
      <c r="S10" t="s">
        <v>111</v>
      </c>
      <c r="T10" t="s">
        <v>122</v>
      </c>
      <c r="U10" t="s">
        <v>111</v>
      </c>
      <c r="V10" t="s">
        <v>94</v>
      </c>
      <c r="W10" t="s">
        <v>98</v>
      </c>
      <c r="X10" t="s">
        <v>109</v>
      </c>
      <c r="Y10" s="1" t="s">
        <v>112</v>
      </c>
      <c r="Z10" t="s">
        <v>112</v>
      </c>
      <c r="AA10" t="s">
        <v>103</v>
      </c>
      <c r="AB10" t="s">
        <v>86</v>
      </c>
      <c r="AC10" t="s">
        <v>85</v>
      </c>
      <c r="AD10" t="s">
        <v>122</v>
      </c>
      <c r="AE10" t="s">
        <v>103</v>
      </c>
      <c r="AF10" t="s">
        <v>119</v>
      </c>
      <c r="AG10" t="s">
        <v>131</v>
      </c>
      <c r="AI10" t="s">
        <v>121</v>
      </c>
      <c r="AJ10" t="s">
        <v>128</v>
      </c>
      <c r="AK10" t="s">
        <v>84</v>
      </c>
      <c r="AL10" t="s">
        <v>85</v>
      </c>
      <c r="AM10" t="s">
        <v>85</v>
      </c>
      <c r="AN10" t="s">
        <v>94</v>
      </c>
      <c r="AO10" t="s">
        <v>103</v>
      </c>
      <c r="AP10" t="s">
        <v>86</v>
      </c>
      <c r="AQ10" t="s">
        <v>112</v>
      </c>
      <c r="AR10" t="s">
        <v>129</v>
      </c>
      <c r="AS10" t="s">
        <v>116</v>
      </c>
      <c r="AT10" t="s">
        <v>111</v>
      </c>
      <c r="AU10" t="s">
        <v>96</v>
      </c>
      <c r="AV10" t="s">
        <v>116</v>
      </c>
      <c r="AW10" t="s">
        <v>94</v>
      </c>
      <c r="AX10" t="s">
        <v>101</v>
      </c>
      <c r="AY10" t="s">
        <v>98</v>
      </c>
      <c r="AZ10" t="s">
        <v>105</v>
      </c>
      <c r="BA10" t="s">
        <v>122</v>
      </c>
      <c r="BB10" t="s">
        <v>85</v>
      </c>
      <c r="BC10" t="s">
        <v>116</v>
      </c>
      <c r="BD10" t="s">
        <v>103</v>
      </c>
      <c r="BE10" t="s">
        <v>101</v>
      </c>
      <c r="BF10" t="s">
        <v>103</v>
      </c>
      <c r="BG10" t="s">
        <v>96</v>
      </c>
      <c r="BH10" t="s">
        <v>111</v>
      </c>
      <c r="BJ10" t="s">
        <v>97</v>
      </c>
      <c r="BK10" t="s">
        <v>96</v>
      </c>
      <c r="BL10" t="s">
        <v>112</v>
      </c>
      <c r="BM10" t="s">
        <v>97</v>
      </c>
      <c r="BN10" t="s">
        <v>122</v>
      </c>
      <c r="BO10" t="s">
        <v>105</v>
      </c>
      <c r="BQ10" s="2"/>
      <c r="BR10" s="39" t="s">
        <v>132</v>
      </c>
    </row>
    <row r="11" spans="1:74" ht="15" customHeight="1" thickBot="1" x14ac:dyDescent="0.3">
      <c r="A11" t="s">
        <v>122</v>
      </c>
      <c r="C11" t="s">
        <v>124</v>
      </c>
      <c r="D11" s="4" t="s">
        <v>111</v>
      </c>
      <c r="E11" s="6" t="s">
        <v>106</v>
      </c>
      <c r="F11" t="s">
        <v>88</v>
      </c>
      <c r="G11" s="4" t="s">
        <v>94</v>
      </c>
      <c r="H11" t="s">
        <v>98</v>
      </c>
      <c r="I11" t="s">
        <v>98</v>
      </c>
      <c r="J11" t="s">
        <v>118</v>
      </c>
      <c r="L11" t="s">
        <v>103</v>
      </c>
      <c r="M11" t="s">
        <v>79</v>
      </c>
      <c r="N11" t="s">
        <v>109</v>
      </c>
      <c r="O11" t="s">
        <v>112</v>
      </c>
      <c r="P11" t="s">
        <v>134</v>
      </c>
      <c r="Q11" s="39" t="s">
        <v>135</v>
      </c>
      <c r="R11" t="s">
        <v>84</v>
      </c>
      <c r="S11" t="s">
        <v>99</v>
      </c>
      <c r="T11" t="s">
        <v>88</v>
      </c>
      <c r="U11" t="s">
        <v>99</v>
      </c>
      <c r="V11" t="s">
        <v>84</v>
      </c>
      <c r="W11" t="s">
        <v>105</v>
      </c>
      <c r="X11" t="s">
        <v>112</v>
      </c>
      <c r="Y11" t="s">
        <v>126</v>
      </c>
      <c r="Z11" s="2" t="s">
        <v>119</v>
      </c>
      <c r="AA11" t="s">
        <v>104</v>
      </c>
      <c r="AB11" t="s">
        <v>103</v>
      </c>
      <c r="AC11" t="s">
        <v>112</v>
      </c>
      <c r="AD11" t="s">
        <v>106</v>
      </c>
      <c r="AE11" t="s">
        <v>97</v>
      </c>
      <c r="AF11" t="s">
        <v>111</v>
      </c>
      <c r="AG11" t="s">
        <v>106</v>
      </c>
      <c r="AI11" t="s">
        <v>97</v>
      </c>
      <c r="AJ11" t="s">
        <v>124</v>
      </c>
      <c r="AK11" t="s">
        <v>85</v>
      </c>
      <c r="AL11" t="s">
        <v>133</v>
      </c>
      <c r="AM11" t="s">
        <v>101</v>
      </c>
      <c r="AN11" t="s">
        <v>96</v>
      </c>
      <c r="AO11" t="s">
        <v>119</v>
      </c>
      <c r="AP11" t="s">
        <v>101</v>
      </c>
      <c r="AQ11" t="s">
        <v>103</v>
      </c>
      <c r="AR11" t="s">
        <v>89</v>
      </c>
      <c r="AS11" t="s">
        <v>105</v>
      </c>
      <c r="AT11" t="s">
        <v>116</v>
      </c>
      <c r="AU11" t="s">
        <v>104</v>
      </c>
      <c r="AV11" t="s">
        <v>122</v>
      </c>
      <c r="AW11" t="s">
        <v>110</v>
      </c>
      <c r="AX11" t="s">
        <v>128</v>
      </c>
      <c r="AY11" t="s">
        <v>124</v>
      </c>
      <c r="AZ11" t="s">
        <v>99</v>
      </c>
      <c r="BA11" t="s">
        <v>136</v>
      </c>
      <c r="BB11" t="s">
        <v>86</v>
      </c>
      <c r="BC11" t="s">
        <v>105</v>
      </c>
      <c r="BD11" t="s">
        <v>133</v>
      </c>
      <c r="BE11" t="s">
        <v>121</v>
      </c>
      <c r="BF11" t="s">
        <v>101</v>
      </c>
      <c r="BG11" t="s">
        <v>97</v>
      </c>
      <c r="BH11" t="s">
        <v>128</v>
      </c>
      <c r="BJ11" t="s">
        <v>124</v>
      </c>
      <c r="BK11" t="s">
        <v>97</v>
      </c>
      <c r="BL11" t="s">
        <v>98</v>
      </c>
      <c r="BM11" t="s">
        <v>128</v>
      </c>
      <c r="BN11" t="s">
        <v>105</v>
      </c>
      <c r="BO11" t="s">
        <v>118</v>
      </c>
    </row>
    <row r="12" spans="1:74" ht="15" customHeight="1" thickBot="1" x14ac:dyDescent="0.3">
      <c r="A12" t="s">
        <v>118</v>
      </c>
      <c r="C12" s="6" t="s">
        <v>137</v>
      </c>
      <c r="D12" t="s">
        <v>116</v>
      </c>
      <c r="E12" s="7" t="s">
        <v>138</v>
      </c>
      <c r="F12" s="6" t="s">
        <v>106</v>
      </c>
      <c r="G12" t="s">
        <v>124</v>
      </c>
      <c r="H12" t="s">
        <v>105</v>
      </c>
      <c r="I12" t="s">
        <v>122</v>
      </c>
      <c r="J12" s="6" t="s">
        <v>106</v>
      </c>
      <c r="L12" t="s">
        <v>104</v>
      </c>
      <c r="M12" t="s">
        <v>84</v>
      </c>
      <c r="N12" t="s">
        <v>103</v>
      </c>
      <c r="O12" t="s">
        <v>96</v>
      </c>
      <c r="P12" t="s">
        <v>127</v>
      </c>
      <c r="R12" t="s">
        <v>86</v>
      </c>
      <c r="S12" t="s">
        <v>140</v>
      </c>
      <c r="T12" t="s">
        <v>143</v>
      </c>
      <c r="U12" t="s">
        <v>140</v>
      </c>
      <c r="V12" t="s">
        <v>86</v>
      </c>
      <c r="W12" s="1" t="s">
        <v>88</v>
      </c>
      <c r="X12" t="s">
        <v>97</v>
      </c>
      <c r="Y12" t="s">
        <v>116</v>
      </c>
      <c r="Z12" t="s">
        <v>111</v>
      </c>
      <c r="AA12" t="s">
        <v>98</v>
      </c>
      <c r="AB12" t="s">
        <v>79</v>
      </c>
      <c r="AC12" t="s">
        <v>95</v>
      </c>
      <c r="AD12" t="s">
        <v>131</v>
      </c>
      <c r="AE12" t="s">
        <v>111</v>
      </c>
      <c r="AF12" t="s">
        <v>116</v>
      </c>
      <c r="AG12" t="s">
        <v>89</v>
      </c>
      <c r="AI12" t="s">
        <v>111</v>
      </c>
      <c r="AJ12" t="s">
        <v>105</v>
      </c>
      <c r="AK12" t="s">
        <v>101</v>
      </c>
      <c r="AL12" t="s">
        <v>111</v>
      </c>
      <c r="AM12" t="s">
        <v>102</v>
      </c>
      <c r="AN12" t="s">
        <v>111</v>
      </c>
      <c r="AO12" t="s">
        <v>99</v>
      </c>
      <c r="AP12" t="s">
        <v>103</v>
      </c>
      <c r="AQ12" t="s">
        <v>133</v>
      </c>
      <c r="AR12" s="39" t="s">
        <v>139</v>
      </c>
      <c r="AS12" t="s">
        <v>118</v>
      </c>
      <c r="AT12" t="s">
        <v>140</v>
      </c>
      <c r="AU12" t="s">
        <v>111</v>
      </c>
      <c r="AV12" t="s">
        <v>88</v>
      </c>
      <c r="AW12" t="s">
        <v>79</v>
      </c>
      <c r="AX12" t="s">
        <v>124</v>
      </c>
      <c r="AY12" t="s">
        <v>99</v>
      </c>
      <c r="AZ12" t="s">
        <v>141</v>
      </c>
      <c r="BA12" t="s">
        <v>142</v>
      </c>
      <c r="BB12" t="s">
        <v>112</v>
      </c>
      <c r="BC12" t="s">
        <v>144</v>
      </c>
      <c r="BD12" t="s">
        <v>96</v>
      </c>
      <c r="BE12" t="s">
        <v>96</v>
      </c>
      <c r="BF12" t="s">
        <v>96</v>
      </c>
      <c r="BG12" t="s">
        <v>111</v>
      </c>
      <c r="BH12" t="s">
        <v>105</v>
      </c>
      <c r="BJ12" t="s">
        <v>140</v>
      </c>
      <c r="BK12" t="s">
        <v>88</v>
      </c>
      <c r="BL12" t="s">
        <v>116</v>
      </c>
      <c r="BM12" t="s">
        <v>140</v>
      </c>
      <c r="BN12" t="s">
        <v>145</v>
      </c>
      <c r="BO12" t="s">
        <v>106</v>
      </c>
    </row>
    <row r="13" spans="1:74" ht="15" customHeight="1" thickBot="1" x14ac:dyDescent="0.3">
      <c r="A13" s="6" t="s">
        <v>106</v>
      </c>
      <c r="C13" t="s">
        <v>106</v>
      </c>
      <c r="D13" t="s">
        <v>105</v>
      </c>
      <c r="E13" s="8" t="s">
        <v>91</v>
      </c>
      <c r="F13" s="7" t="s">
        <v>91</v>
      </c>
      <c r="G13" t="s">
        <v>97</v>
      </c>
      <c r="H13" t="s">
        <v>118</v>
      </c>
      <c r="I13" t="s">
        <v>88</v>
      </c>
      <c r="J13" s="9" t="s">
        <v>138</v>
      </c>
      <c r="L13" t="s">
        <v>124</v>
      </c>
      <c r="M13" t="s">
        <v>86</v>
      </c>
      <c r="N13" t="s">
        <v>97</v>
      </c>
      <c r="O13" t="s">
        <v>104</v>
      </c>
      <c r="P13" s="39" t="s">
        <v>135</v>
      </c>
      <c r="R13" t="s">
        <v>112</v>
      </c>
      <c r="S13" t="s">
        <v>118</v>
      </c>
      <c r="T13" t="s">
        <v>131</v>
      </c>
      <c r="U13" t="s">
        <v>105</v>
      </c>
      <c r="V13" t="s">
        <v>112</v>
      </c>
      <c r="W13" t="s">
        <v>118</v>
      </c>
      <c r="X13" t="s">
        <v>111</v>
      </c>
      <c r="Y13" s="2" t="s">
        <v>88</v>
      </c>
      <c r="Z13" t="s">
        <v>116</v>
      </c>
      <c r="AA13" t="s">
        <v>124</v>
      </c>
      <c r="AB13" t="s">
        <v>119</v>
      </c>
      <c r="AC13" t="s">
        <v>104</v>
      </c>
      <c r="AD13" t="s">
        <v>139</v>
      </c>
      <c r="AE13" t="s">
        <v>118</v>
      </c>
      <c r="AF13" t="s">
        <v>122</v>
      </c>
      <c r="AG13" t="s">
        <v>147</v>
      </c>
      <c r="AI13" t="s">
        <v>116</v>
      </c>
      <c r="AJ13" s="1" t="s">
        <v>89</v>
      </c>
      <c r="AK13" t="s">
        <v>133</v>
      </c>
      <c r="AL13" t="s">
        <v>140</v>
      </c>
      <c r="AM13" t="s">
        <v>97</v>
      </c>
      <c r="AN13" t="s">
        <v>99</v>
      </c>
      <c r="AO13" s="3" t="s">
        <v>118</v>
      </c>
      <c r="AP13" t="s">
        <v>79</v>
      </c>
      <c r="AQ13" t="s">
        <v>120</v>
      </c>
      <c r="AR13" t="s">
        <v>134</v>
      </c>
      <c r="AS13" t="s">
        <v>140</v>
      </c>
      <c r="AT13" t="s">
        <v>124</v>
      </c>
      <c r="AU13" t="s">
        <v>98</v>
      </c>
      <c r="AV13" t="s">
        <v>91</v>
      </c>
      <c r="AW13" t="s">
        <v>85</v>
      </c>
      <c r="AX13" t="s">
        <v>88</v>
      </c>
      <c r="AY13" t="s">
        <v>105</v>
      </c>
      <c r="AZ13" t="s">
        <v>106</v>
      </c>
      <c r="BA13" s="39" t="s">
        <v>130</v>
      </c>
      <c r="BB13" t="s">
        <v>103</v>
      </c>
      <c r="BC13" s="39" t="s">
        <v>146</v>
      </c>
      <c r="BD13" t="s">
        <v>104</v>
      </c>
      <c r="BE13" t="s">
        <v>97</v>
      </c>
      <c r="BF13" t="s">
        <v>120</v>
      </c>
      <c r="BG13" t="s">
        <v>126</v>
      </c>
      <c r="BH13" t="s">
        <v>118</v>
      </c>
      <c r="BJ13" t="s">
        <v>88</v>
      </c>
      <c r="BK13" t="s">
        <v>141</v>
      </c>
      <c r="BL13" t="s">
        <v>105</v>
      </c>
      <c r="BM13" t="s">
        <v>118</v>
      </c>
      <c r="BN13" t="s">
        <v>106</v>
      </c>
      <c r="BO13" t="s">
        <v>148</v>
      </c>
    </row>
    <row r="14" spans="1:74" ht="15" customHeight="1" thickBot="1" x14ac:dyDescent="0.3">
      <c r="A14" s="7" t="s">
        <v>91</v>
      </c>
      <c r="C14" t="s">
        <v>149</v>
      </c>
      <c r="D14" s="6" t="s">
        <v>137</v>
      </c>
      <c r="E14" s="10" t="s">
        <v>147</v>
      </c>
      <c r="F14" s="10" t="s">
        <v>130</v>
      </c>
      <c r="G14" s="6" t="s">
        <v>137</v>
      </c>
      <c r="H14" s="6" t="s">
        <v>106</v>
      </c>
      <c r="I14" t="s">
        <v>118</v>
      </c>
      <c r="J14" t="s">
        <v>134</v>
      </c>
      <c r="L14" t="s">
        <v>105</v>
      </c>
      <c r="M14" t="s">
        <v>101</v>
      </c>
      <c r="N14" t="s">
        <v>104</v>
      </c>
      <c r="O14" t="s">
        <v>116</v>
      </c>
      <c r="R14" t="s">
        <v>97</v>
      </c>
      <c r="S14" t="s">
        <v>106</v>
      </c>
      <c r="T14" t="s">
        <v>139</v>
      </c>
      <c r="U14" t="s">
        <v>118</v>
      </c>
      <c r="V14" t="s">
        <v>103</v>
      </c>
      <c r="W14" t="s">
        <v>131</v>
      </c>
      <c r="X14" t="s">
        <v>116</v>
      </c>
      <c r="Y14" t="s">
        <v>118</v>
      </c>
      <c r="Z14" t="s">
        <v>124</v>
      </c>
      <c r="AA14" t="s">
        <v>143</v>
      </c>
      <c r="AB14" t="s">
        <v>98</v>
      </c>
      <c r="AC14" t="s">
        <v>98</v>
      </c>
      <c r="AD14" t="s">
        <v>153</v>
      </c>
      <c r="AE14" t="s">
        <v>149</v>
      </c>
      <c r="AF14" t="s">
        <v>88</v>
      </c>
      <c r="AG14" t="s">
        <v>130</v>
      </c>
      <c r="AI14" t="s">
        <v>105</v>
      </c>
      <c r="AJ14" t="s">
        <v>142</v>
      </c>
      <c r="AK14" t="s">
        <v>111</v>
      </c>
      <c r="AL14" t="s">
        <v>88</v>
      </c>
      <c r="AM14" t="s">
        <v>98</v>
      </c>
      <c r="AN14" t="s">
        <v>145</v>
      </c>
      <c r="AO14" t="s">
        <v>104</v>
      </c>
      <c r="AP14" t="s">
        <v>96</v>
      </c>
      <c r="AQ14" t="s">
        <v>87</v>
      </c>
      <c r="AR14" t="s">
        <v>150</v>
      </c>
      <c r="AS14" t="s">
        <v>106</v>
      </c>
      <c r="AT14" t="s">
        <v>106</v>
      </c>
      <c r="AU14" t="s">
        <v>116</v>
      </c>
      <c r="AV14" t="s">
        <v>117</v>
      </c>
      <c r="AW14" t="s">
        <v>85</v>
      </c>
      <c r="AX14" t="s">
        <v>116</v>
      </c>
      <c r="AY14" t="s">
        <v>151</v>
      </c>
      <c r="AZ14" t="s">
        <v>148</v>
      </c>
      <c r="BA14" t="s">
        <v>152</v>
      </c>
      <c r="BB14" t="s">
        <v>102</v>
      </c>
      <c r="BD14" t="s">
        <v>111</v>
      </c>
      <c r="BE14" t="s">
        <v>104</v>
      </c>
      <c r="BF14" t="s">
        <v>87</v>
      </c>
      <c r="BG14" t="s">
        <v>116</v>
      </c>
      <c r="BH14" t="s">
        <v>106</v>
      </c>
      <c r="BJ14" t="s">
        <v>105</v>
      </c>
      <c r="BK14" t="s">
        <v>90</v>
      </c>
      <c r="BL14" t="s">
        <v>124</v>
      </c>
      <c r="BM14" t="s">
        <v>89</v>
      </c>
      <c r="BN14" t="s">
        <v>154</v>
      </c>
      <c r="BO14" t="s">
        <v>91</v>
      </c>
    </row>
    <row r="15" spans="1:74" ht="15" customHeight="1" thickBot="1" x14ac:dyDescent="0.3">
      <c r="A15" s="10" t="s">
        <v>90</v>
      </c>
      <c r="C15" s="10" t="s">
        <v>130</v>
      </c>
      <c r="D15" t="s">
        <v>151</v>
      </c>
      <c r="E15" t="s">
        <v>155</v>
      </c>
      <c r="F15" t="s">
        <v>134</v>
      </c>
      <c r="G15" s="7" t="s">
        <v>91</v>
      </c>
      <c r="H15" s="6" t="s">
        <v>147</v>
      </c>
      <c r="I15" s="6" t="s">
        <v>137</v>
      </c>
      <c r="J15" t="s">
        <v>107</v>
      </c>
      <c r="L15" t="s">
        <v>131</v>
      </c>
      <c r="M15" t="s">
        <v>112</v>
      </c>
      <c r="N15" s="6" t="s">
        <v>98</v>
      </c>
      <c r="O15" t="s">
        <v>124</v>
      </c>
      <c r="R15" t="s">
        <v>111</v>
      </c>
      <c r="S15" t="s">
        <v>131</v>
      </c>
      <c r="T15" t="s">
        <v>153</v>
      </c>
      <c r="U15" t="s">
        <v>106</v>
      </c>
      <c r="V15" t="s">
        <v>97</v>
      </c>
      <c r="W15" t="s">
        <v>106</v>
      </c>
      <c r="X15" t="s">
        <v>122</v>
      </c>
      <c r="Y15" t="s">
        <v>131</v>
      </c>
      <c r="Z15" t="s">
        <v>105</v>
      </c>
      <c r="AA15" t="s">
        <v>106</v>
      </c>
      <c r="AB15" t="s">
        <v>122</v>
      </c>
      <c r="AC15" t="s">
        <v>116</v>
      </c>
      <c r="AD15" t="s">
        <v>89</v>
      </c>
      <c r="AE15" t="s">
        <v>117</v>
      </c>
      <c r="AF15" t="s">
        <v>118</v>
      </c>
      <c r="AG15" s="39" t="s">
        <v>158</v>
      </c>
      <c r="AI15" t="s">
        <v>106</v>
      </c>
      <c r="AJ15" s="2" t="s">
        <v>147</v>
      </c>
      <c r="AK15" t="s">
        <v>87</v>
      </c>
      <c r="AL15" t="s">
        <v>156</v>
      </c>
      <c r="AM15" t="s">
        <v>122</v>
      </c>
      <c r="AN15" t="s">
        <v>153</v>
      </c>
      <c r="AO15" t="s">
        <v>106</v>
      </c>
      <c r="AP15" t="s">
        <v>111</v>
      </c>
      <c r="AQ15" t="s">
        <v>116</v>
      </c>
      <c r="AR15" t="s">
        <v>107</v>
      </c>
      <c r="AS15" t="s">
        <v>89</v>
      </c>
      <c r="AT15" t="s">
        <v>90</v>
      </c>
      <c r="AU15" t="s">
        <v>105</v>
      </c>
      <c r="AV15" t="s">
        <v>157</v>
      </c>
      <c r="AW15" t="s">
        <v>115</v>
      </c>
      <c r="AX15" t="s">
        <v>129</v>
      </c>
      <c r="AY15" t="s">
        <v>147</v>
      </c>
      <c r="AZ15" t="s">
        <v>89</v>
      </c>
      <c r="BA15" s="39" t="s">
        <v>135</v>
      </c>
      <c r="BB15" t="s">
        <v>119</v>
      </c>
      <c r="BD15" t="s">
        <v>87</v>
      </c>
      <c r="BE15" t="s">
        <v>126</v>
      </c>
      <c r="BF15" t="s">
        <v>98</v>
      </c>
      <c r="BG15" t="s">
        <v>122</v>
      </c>
      <c r="BH15" t="s">
        <v>89</v>
      </c>
      <c r="BI15" s="1"/>
      <c r="BJ15" t="s">
        <v>151</v>
      </c>
      <c r="BK15" t="s">
        <v>136</v>
      </c>
      <c r="BL15" t="s">
        <v>129</v>
      </c>
      <c r="BM15" t="s">
        <v>90</v>
      </c>
      <c r="BN15" t="s">
        <v>159</v>
      </c>
      <c r="BO15" t="s">
        <v>136</v>
      </c>
    </row>
    <row r="16" spans="1:74" ht="15" customHeight="1" thickBot="1" x14ac:dyDescent="0.3">
      <c r="A16" t="s">
        <v>155</v>
      </c>
      <c r="C16" t="s">
        <v>150</v>
      </c>
      <c r="D16" s="7" t="s">
        <v>91</v>
      </c>
      <c r="E16" t="s">
        <v>150</v>
      </c>
      <c r="F16" t="s">
        <v>146</v>
      </c>
      <c r="G16" s="8" t="s">
        <v>144</v>
      </c>
      <c r="H16" s="1" t="s">
        <v>130</v>
      </c>
      <c r="I16" s="1" t="s">
        <v>151</v>
      </c>
      <c r="J16" t="s">
        <v>127</v>
      </c>
      <c r="L16" t="s">
        <v>147</v>
      </c>
      <c r="M16" t="s">
        <v>103</v>
      </c>
      <c r="N16" t="s">
        <v>116</v>
      </c>
      <c r="O16" t="s">
        <v>89</v>
      </c>
      <c r="R16" t="s">
        <v>98</v>
      </c>
      <c r="S16" s="39" t="s">
        <v>125</v>
      </c>
      <c r="T16" t="s">
        <v>89</v>
      </c>
      <c r="U16" t="s">
        <v>139</v>
      </c>
      <c r="V16" t="s">
        <v>104</v>
      </c>
      <c r="W16" s="2" t="s">
        <v>160</v>
      </c>
      <c r="X16" t="s">
        <v>118</v>
      </c>
      <c r="Y16" t="s">
        <v>106</v>
      </c>
      <c r="Z16" t="s">
        <v>118</v>
      </c>
      <c r="AA16" t="s">
        <v>160</v>
      </c>
      <c r="AB16" t="s">
        <v>88</v>
      </c>
      <c r="AC16" s="1" t="s">
        <v>122</v>
      </c>
      <c r="AD16" t="s">
        <v>130</v>
      </c>
      <c r="AE16" t="s">
        <v>89</v>
      </c>
      <c r="AF16" t="s">
        <v>131</v>
      </c>
      <c r="AG16" t="s">
        <v>155</v>
      </c>
      <c r="AI16" t="s">
        <v>89</v>
      </c>
      <c r="AJ16" t="s">
        <v>130</v>
      </c>
      <c r="AK16" s="4" t="s">
        <v>122</v>
      </c>
      <c r="AL16" t="s">
        <v>145</v>
      </c>
      <c r="AM16" t="s">
        <v>105</v>
      </c>
      <c r="AN16" t="s">
        <v>89</v>
      </c>
      <c r="AO16" t="s">
        <v>141</v>
      </c>
      <c r="AP16" t="s">
        <v>122</v>
      </c>
      <c r="AQ16" t="s">
        <v>140</v>
      </c>
      <c r="AR16" s="39" t="s">
        <v>152</v>
      </c>
      <c r="AS16" t="s">
        <v>142</v>
      </c>
      <c r="AT16" s="39" t="s">
        <v>147</v>
      </c>
      <c r="AU16" t="s">
        <v>88</v>
      </c>
      <c r="AV16" t="s">
        <v>150</v>
      </c>
      <c r="AW16" t="s">
        <v>101</v>
      </c>
      <c r="AX16" t="s">
        <v>91</v>
      </c>
      <c r="AY16" t="s">
        <v>123</v>
      </c>
      <c r="AZ16" t="s">
        <v>130</v>
      </c>
      <c r="BB16" t="s">
        <v>111</v>
      </c>
      <c r="BD16" t="s">
        <v>98</v>
      </c>
      <c r="BE16" t="s">
        <v>122</v>
      </c>
      <c r="BF16" s="1" t="s">
        <v>122</v>
      </c>
      <c r="BG16" t="s">
        <v>88</v>
      </c>
      <c r="BH16" t="s">
        <v>90</v>
      </c>
      <c r="BJ16" t="s">
        <v>158</v>
      </c>
      <c r="BK16" s="39" t="s">
        <v>147</v>
      </c>
      <c r="BL16" t="s">
        <v>153</v>
      </c>
      <c r="BM16" t="s">
        <v>136</v>
      </c>
      <c r="BN16" t="s">
        <v>161</v>
      </c>
      <c r="BO16" t="s">
        <v>162</v>
      </c>
    </row>
    <row r="17" spans="1:67" ht="15" customHeight="1" thickBot="1" x14ac:dyDescent="0.3">
      <c r="A17" t="s">
        <v>107</v>
      </c>
      <c r="C17" s="2" t="s">
        <v>163</v>
      </c>
      <c r="D17" s="8" t="s">
        <v>144</v>
      </c>
      <c r="E17" t="s">
        <v>164</v>
      </c>
      <c r="F17" t="s">
        <v>127</v>
      </c>
      <c r="G17" s="10" t="s">
        <v>130</v>
      </c>
      <c r="H17" t="s">
        <v>155</v>
      </c>
      <c r="I17" t="s">
        <v>150</v>
      </c>
      <c r="J17" s="2" t="s">
        <v>132</v>
      </c>
      <c r="K17" s="10"/>
      <c r="L17" t="s">
        <v>130</v>
      </c>
      <c r="M17" t="s">
        <v>96</v>
      </c>
      <c r="N17" s="1" t="s">
        <v>105</v>
      </c>
      <c r="O17" s="39" t="s">
        <v>147</v>
      </c>
      <c r="R17" t="s">
        <v>105</v>
      </c>
      <c r="S17" t="s">
        <v>155</v>
      </c>
      <c r="T17" t="s">
        <v>158</v>
      </c>
      <c r="U17" t="s">
        <v>131</v>
      </c>
      <c r="V17" t="s">
        <v>98</v>
      </c>
      <c r="W17" t="s">
        <v>89</v>
      </c>
      <c r="X17" s="6" t="s">
        <v>131</v>
      </c>
      <c r="Y17" t="s">
        <v>149</v>
      </c>
      <c r="Z17" t="s">
        <v>131</v>
      </c>
      <c r="AA17" t="s">
        <v>117</v>
      </c>
      <c r="AB17" s="1" t="s">
        <v>118</v>
      </c>
      <c r="AC17" t="s">
        <v>131</v>
      </c>
      <c r="AD17" t="s">
        <v>158</v>
      </c>
      <c r="AE17" t="s">
        <v>125</v>
      </c>
      <c r="AF17" t="s">
        <v>153</v>
      </c>
      <c r="AG17" t="s">
        <v>134</v>
      </c>
      <c r="AI17" s="39" t="s">
        <v>147</v>
      </c>
      <c r="AJ17" s="39" t="s">
        <v>136</v>
      </c>
      <c r="AK17" t="s">
        <v>105</v>
      </c>
      <c r="AL17" t="s">
        <v>149</v>
      </c>
      <c r="AM17" t="s">
        <v>88</v>
      </c>
      <c r="AN17" t="s">
        <v>91</v>
      </c>
      <c r="AO17" t="s">
        <v>91</v>
      </c>
      <c r="AP17" t="s">
        <v>98</v>
      </c>
      <c r="AQ17" t="s">
        <v>118</v>
      </c>
      <c r="AR17" s="11"/>
      <c r="AS17" s="39" t="s">
        <v>130</v>
      </c>
      <c r="AT17" t="s">
        <v>134</v>
      </c>
      <c r="AU17" t="s">
        <v>124</v>
      </c>
      <c r="AV17" t="s">
        <v>146</v>
      </c>
      <c r="AW17" t="s">
        <v>101</v>
      </c>
      <c r="AX17" t="s">
        <v>136</v>
      </c>
      <c r="AY17" t="s">
        <v>146</v>
      </c>
      <c r="AZ17" t="s">
        <v>161</v>
      </c>
      <c r="BB17" t="s">
        <v>99</v>
      </c>
      <c r="BD17" t="s">
        <v>105</v>
      </c>
      <c r="BE17" s="1" t="s">
        <v>88</v>
      </c>
      <c r="BF17" t="s">
        <v>156</v>
      </c>
      <c r="BG17" t="s">
        <v>129</v>
      </c>
      <c r="BH17" t="s">
        <v>136</v>
      </c>
      <c r="BJ17" s="39" t="s">
        <v>162</v>
      </c>
      <c r="BK17" t="s">
        <v>134</v>
      </c>
      <c r="BL17" s="1" t="s">
        <v>149</v>
      </c>
      <c r="BM17" s="39" t="s">
        <v>147</v>
      </c>
      <c r="BN17" t="s">
        <v>123</v>
      </c>
      <c r="BO17" t="s">
        <v>130</v>
      </c>
    </row>
    <row r="18" spans="1:67" ht="15" customHeight="1" thickBot="1" x14ac:dyDescent="0.3">
      <c r="A18" t="s">
        <v>164</v>
      </c>
      <c r="C18" s="11"/>
      <c r="D18" s="1" t="s">
        <v>130</v>
      </c>
      <c r="E18" t="s">
        <v>163</v>
      </c>
      <c r="F18" s="2" t="s">
        <v>135</v>
      </c>
      <c r="G18" t="s">
        <v>134</v>
      </c>
      <c r="H18" t="s">
        <v>134</v>
      </c>
      <c r="I18" t="s">
        <v>146</v>
      </c>
      <c r="L18" t="s">
        <v>167</v>
      </c>
      <c r="M18" t="s">
        <v>104</v>
      </c>
      <c r="N18" t="s">
        <v>118</v>
      </c>
      <c r="O18" s="39" t="s">
        <v>167</v>
      </c>
      <c r="R18" t="s">
        <v>88</v>
      </c>
      <c r="S18" t="s">
        <v>150</v>
      </c>
      <c r="T18" t="s">
        <v>106</v>
      </c>
      <c r="U18" s="39" t="s">
        <v>149</v>
      </c>
      <c r="V18" t="s">
        <v>122</v>
      </c>
      <c r="W18" t="s">
        <v>139</v>
      </c>
      <c r="X18" s="1" t="s">
        <v>151</v>
      </c>
      <c r="Y18" t="s">
        <v>158</v>
      </c>
      <c r="Z18" t="s">
        <v>139</v>
      </c>
      <c r="AA18" t="s">
        <v>169</v>
      </c>
      <c r="AB18" t="s">
        <v>131</v>
      </c>
      <c r="AC18" t="s">
        <v>106</v>
      </c>
      <c r="AD18" s="39" t="s">
        <v>147</v>
      </c>
      <c r="AE18" s="39" t="s">
        <v>158</v>
      </c>
      <c r="AF18" t="s">
        <v>89</v>
      </c>
      <c r="AG18" s="1" t="s">
        <v>146</v>
      </c>
      <c r="AI18" t="s">
        <v>157</v>
      </c>
      <c r="AJ18" t="s">
        <v>127</v>
      </c>
      <c r="AK18" t="s">
        <v>156</v>
      </c>
      <c r="AL18" t="s">
        <v>139</v>
      </c>
      <c r="AM18" s="1" t="s">
        <v>124</v>
      </c>
      <c r="AN18" t="s">
        <v>91</v>
      </c>
      <c r="AO18" t="s">
        <v>136</v>
      </c>
      <c r="AP18" t="s">
        <v>148</v>
      </c>
      <c r="AQ18" t="s">
        <v>98</v>
      </c>
      <c r="AR18" s="12"/>
      <c r="AS18" t="s">
        <v>134</v>
      </c>
      <c r="AT18" t="s">
        <v>107</v>
      </c>
      <c r="AU18" t="s">
        <v>149</v>
      </c>
      <c r="AV18" t="s">
        <v>107</v>
      </c>
      <c r="AW18" t="s">
        <v>112</v>
      </c>
      <c r="AX18" s="39" t="s">
        <v>130</v>
      </c>
      <c r="AY18" t="s">
        <v>163</v>
      </c>
      <c r="AZ18" t="s">
        <v>134</v>
      </c>
      <c r="BB18" t="s">
        <v>105</v>
      </c>
      <c r="BD18" s="1" t="s">
        <v>118</v>
      </c>
      <c r="BE18" t="s">
        <v>98</v>
      </c>
      <c r="BF18" t="s">
        <v>88</v>
      </c>
      <c r="BG18" s="1" t="s">
        <v>141</v>
      </c>
      <c r="BH18" t="s">
        <v>142</v>
      </c>
      <c r="BJ18" t="s">
        <v>150</v>
      </c>
      <c r="BK18" s="1" t="s">
        <v>150</v>
      </c>
      <c r="BL18" s="39" t="s">
        <v>89</v>
      </c>
      <c r="BM18" t="s">
        <v>134</v>
      </c>
      <c r="BN18" s="1" t="s">
        <v>170</v>
      </c>
      <c r="BO18" s="39" t="s">
        <v>161</v>
      </c>
    </row>
    <row r="19" spans="1:67" ht="15" customHeight="1" thickBot="1" x14ac:dyDescent="0.3">
      <c r="A19" t="s">
        <v>127</v>
      </c>
      <c r="C19" s="11"/>
      <c r="D19" t="s">
        <v>134</v>
      </c>
      <c r="E19" s="2" t="s">
        <v>135</v>
      </c>
      <c r="G19" t="s">
        <v>146</v>
      </c>
      <c r="H19" t="s">
        <v>150</v>
      </c>
      <c r="I19" t="s">
        <v>107</v>
      </c>
      <c r="L19" s="1" t="s">
        <v>162</v>
      </c>
      <c r="M19" t="s">
        <v>111</v>
      </c>
      <c r="N19" s="2" t="s">
        <v>131</v>
      </c>
      <c r="O19" t="s">
        <v>150</v>
      </c>
      <c r="R19" t="s">
        <v>143</v>
      </c>
      <c r="S19" t="s">
        <v>146</v>
      </c>
      <c r="T19" s="1" t="s">
        <v>147</v>
      </c>
      <c r="U19" t="s">
        <v>134</v>
      </c>
      <c r="V19" t="s">
        <v>105</v>
      </c>
      <c r="W19" t="s">
        <v>147</v>
      </c>
      <c r="X19" t="s">
        <v>160</v>
      </c>
      <c r="Y19" t="s">
        <v>147</v>
      </c>
      <c r="Z19" t="s">
        <v>169</v>
      </c>
      <c r="AA19" t="s">
        <v>130</v>
      </c>
      <c r="AB19" t="s">
        <v>89</v>
      </c>
      <c r="AC19" t="s">
        <v>158</v>
      </c>
      <c r="AD19" t="s">
        <v>155</v>
      </c>
      <c r="AE19" s="2" t="s">
        <v>134</v>
      </c>
      <c r="AF19" t="s">
        <v>147</v>
      </c>
      <c r="AG19" t="s">
        <v>172</v>
      </c>
      <c r="AH19" s="2"/>
      <c r="AI19" t="s">
        <v>107</v>
      </c>
      <c r="AJ19" s="39" t="s">
        <v>132</v>
      </c>
      <c r="AK19" t="s">
        <v>89</v>
      </c>
      <c r="AL19" s="1" t="s">
        <v>91</v>
      </c>
      <c r="AM19" t="s">
        <v>104</v>
      </c>
      <c r="AN19" t="s">
        <v>106</v>
      </c>
      <c r="AO19" s="39" t="s">
        <v>162</v>
      </c>
      <c r="AP19" t="s">
        <v>91</v>
      </c>
      <c r="AQ19" t="s">
        <v>129</v>
      </c>
      <c r="AR19" s="12"/>
      <c r="AS19" t="s">
        <v>157</v>
      </c>
      <c r="AT19" t="s">
        <v>157</v>
      </c>
      <c r="AU19" t="s">
        <v>158</v>
      </c>
      <c r="AV19" s="39" t="s">
        <v>135</v>
      </c>
      <c r="AW19" t="s">
        <v>103</v>
      </c>
      <c r="AX19" t="s">
        <v>107</v>
      </c>
      <c r="AY19" s="39" t="s">
        <v>135</v>
      </c>
      <c r="AZ19" t="s">
        <v>107</v>
      </c>
      <c r="BB19" t="s">
        <v>144</v>
      </c>
      <c r="BD19" t="s">
        <v>153</v>
      </c>
      <c r="BE19" t="s">
        <v>129</v>
      </c>
      <c r="BF19" t="s">
        <v>149</v>
      </c>
      <c r="BG19" t="s">
        <v>90</v>
      </c>
      <c r="BH19" t="s">
        <v>130</v>
      </c>
      <c r="BJ19" t="s">
        <v>127</v>
      </c>
      <c r="BK19" t="s">
        <v>146</v>
      </c>
      <c r="BL19" t="s">
        <v>134</v>
      </c>
      <c r="BM19" s="1" t="s">
        <v>146</v>
      </c>
      <c r="BN19" s="39" t="s">
        <v>173</v>
      </c>
      <c r="BO19" t="s">
        <v>134</v>
      </c>
    </row>
    <row r="20" spans="1:67" ht="15" customHeight="1" thickBot="1" x14ac:dyDescent="0.3">
      <c r="A20" s="2" t="s">
        <v>132</v>
      </c>
      <c r="C20" s="12"/>
      <c r="D20" t="s">
        <v>146</v>
      </c>
      <c r="G20" s="2" t="s">
        <v>163</v>
      </c>
      <c r="H20" t="s">
        <v>127</v>
      </c>
      <c r="I20" t="s">
        <v>163</v>
      </c>
      <c r="L20" t="s">
        <v>134</v>
      </c>
      <c r="M20" t="s">
        <v>98</v>
      </c>
      <c r="N20" t="s">
        <v>89</v>
      </c>
      <c r="O20" t="s">
        <v>146</v>
      </c>
      <c r="R20" t="s">
        <v>131</v>
      </c>
      <c r="S20" t="s">
        <v>164</v>
      </c>
      <c r="T20" t="s">
        <v>155</v>
      </c>
      <c r="U20" s="4" t="s">
        <v>150</v>
      </c>
      <c r="V20" t="s">
        <v>131</v>
      </c>
      <c r="W20" s="39" t="s">
        <v>130</v>
      </c>
      <c r="X20" t="s">
        <v>139</v>
      </c>
      <c r="Y20" s="39" t="s">
        <v>130</v>
      </c>
      <c r="Z20" t="s">
        <v>158</v>
      </c>
      <c r="AA20" s="39" t="s">
        <v>147</v>
      </c>
      <c r="AB20" s="39" t="s">
        <v>162</v>
      </c>
      <c r="AC20" s="2" t="s">
        <v>151</v>
      </c>
      <c r="AD20" s="1" t="s">
        <v>164</v>
      </c>
      <c r="AE20" t="s">
        <v>176</v>
      </c>
      <c r="AF20" s="39" t="s">
        <v>130</v>
      </c>
      <c r="AG20" t="s">
        <v>163</v>
      </c>
      <c r="AI20" t="s">
        <v>127</v>
      </c>
      <c r="AJ20" s="12"/>
      <c r="AK20" t="s">
        <v>159</v>
      </c>
      <c r="AL20" t="s">
        <v>159</v>
      </c>
      <c r="AM20" t="s">
        <v>129</v>
      </c>
      <c r="AN20" s="1" t="s">
        <v>158</v>
      </c>
      <c r="AO20" t="s">
        <v>155</v>
      </c>
      <c r="AP20" s="39" t="s">
        <v>130</v>
      </c>
      <c r="AQ20" t="s">
        <v>106</v>
      </c>
      <c r="AR20" s="12"/>
      <c r="AS20" t="s">
        <v>107</v>
      </c>
      <c r="AT20" s="1" t="s">
        <v>163</v>
      </c>
      <c r="AU20" s="39" t="s">
        <v>130</v>
      </c>
      <c r="AV20" s="1"/>
      <c r="AW20" t="s">
        <v>103</v>
      </c>
      <c r="AX20" s="1" t="s">
        <v>164</v>
      </c>
      <c r="AZ20" s="1" t="s">
        <v>175</v>
      </c>
      <c r="BB20" s="1" t="s">
        <v>162</v>
      </c>
      <c r="BD20" t="s">
        <v>158</v>
      </c>
      <c r="BE20" s="2" t="s">
        <v>151</v>
      </c>
      <c r="BF20" t="s">
        <v>153</v>
      </c>
      <c r="BG20" t="s">
        <v>147</v>
      </c>
      <c r="BH20" s="1" t="s">
        <v>92</v>
      </c>
      <c r="BJ20" s="39" t="s">
        <v>135</v>
      </c>
      <c r="BK20" t="s">
        <v>152</v>
      </c>
      <c r="BL20" t="s">
        <v>150</v>
      </c>
      <c r="BM20" t="s">
        <v>163</v>
      </c>
      <c r="BN20" s="2" t="s">
        <v>177</v>
      </c>
      <c r="BO20" s="39" t="s">
        <v>164</v>
      </c>
    </row>
    <row r="21" spans="1:67" ht="15" customHeight="1" thickBot="1" x14ac:dyDescent="0.3">
      <c r="C21" s="12"/>
      <c r="D21" t="s">
        <v>107</v>
      </c>
      <c r="G21" s="11"/>
      <c r="H21" s="2" t="s">
        <v>163</v>
      </c>
      <c r="I21" t="s">
        <v>164</v>
      </c>
      <c r="K21" s="2"/>
      <c r="L21" t="s">
        <v>107</v>
      </c>
      <c r="M21" t="s">
        <v>122</v>
      </c>
      <c r="N21" t="s">
        <v>138</v>
      </c>
      <c r="O21" s="6" t="s">
        <v>164</v>
      </c>
      <c r="R21" t="s">
        <v>153</v>
      </c>
      <c r="S21" t="s">
        <v>127</v>
      </c>
      <c r="T21" t="s">
        <v>150</v>
      </c>
      <c r="U21" t="s">
        <v>146</v>
      </c>
      <c r="V21" t="s">
        <v>106</v>
      </c>
      <c r="W21" t="s">
        <v>155</v>
      </c>
      <c r="X21" s="39" t="s">
        <v>92</v>
      </c>
      <c r="Y21" t="s">
        <v>155</v>
      </c>
      <c r="Z21" s="39" t="s">
        <v>92</v>
      </c>
      <c r="AA21" t="s">
        <v>155</v>
      </c>
      <c r="AB21" t="s">
        <v>155</v>
      </c>
      <c r="AC21" t="s">
        <v>91</v>
      </c>
      <c r="AD21" t="s">
        <v>146</v>
      </c>
      <c r="AE21" t="s">
        <v>172</v>
      </c>
      <c r="AF21" t="s">
        <v>155</v>
      </c>
      <c r="AG21" s="39" t="s">
        <v>132</v>
      </c>
      <c r="AI21" s="39" t="s">
        <v>132</v>
      </c>
      <c r="AJ21" s="12"/>
      <c r="AK21" s="39" t="s">
        <v>147</v>
      </c>
      <c r="AL21" t="s">
        <v>130</v>
      </c>
      <c r="AM21" t="s">
        <v>149</v>
      </c>
      <c r="AN21" t="s">
        <v>136</v>
      </c>
      <c r="AO21" t="s">
        <v>134</v>
      </c>
      <c r="AP21" t="s">
        <v>134</v>
      </c>
      <c r="AQ21" t="s">
        <v>88</v>
      </c>
      <c r="AR21" s="12"/>
      <c r="AS21" t="s">
        <v>146</v>
      </c>
      <c r="AU21" t="s">
        <v>134</v>
      </c>
      <c r="AW21" s="1" t="s">
        <v>96</v>
      </c>
      <c r="AX21" t="s">
        <v>127</v>
      </c>
      <c r="AY21" s="1"/>
      <c r="AZ21" t="s">
        <v>164</v>
      </c>
      <c r="BB21" t="s">
        <v>155</v>
      </c>
      <c r="BD21" t="s">
        <v>149</v>
      </c>
      <c r="BE21" t="s">
        <v>148</v>
      </c>
      <c r="BF21" s="2" t="s">
        <v>91</v>
      </c>
      <c r="BG21" t="s">
        <v>130</v>
      </c>
      <c r="BH21" t="s">
        <v>134</v>
      </c>
      <c r="BI21" s="2"/>
      <c r="BK21" s="39" t="s">
        <v>135</v>
      </c>
      <c r="BL21" s="2" t="s">
        <v>107</v>
      </c>
      <c r="BM21" s="39" t="s">
        <v>127</v>
      </c>
      <c r="BN21" t="s">
        <v>134</v>
      </c>
    </row>
    <row r="22" spans="1:67" ht="15" customHeight="1" thickBot="1" x14ac:dyDescent="0.3">
      <c r="C22" s="12"/>
      <c r="D22" t="s">
        <v>163</v>
      </c>
      <c r="G22" s="11"/>
      <c r="H22" s="11"/>
      <c r="I22" s="2" t="s">
        <v>132</v>
      </c>
      <c r="L22" t="s">
        <v>164</v>
      </c>
      <c r="M22" t="s">
        <v>88</v>
      </c>
      <c r="N22" t="s">
        <v>125</v>
      </c>
      <c r="O22" s="39" t="s">
        <v>127</v>
      </c>
      <c r="R22" t="s">
        <v>169</v>
      </c>
      <c r="S22" s="39" t="s">
        <v>135</v>
      </c>
      <c r="T22" t="s">
        <v>176</v>
      </c>
      <c r="U22" t="s">
        <v>164</v>
      </c>
      <c r="V22" t="s">
        <v>149</v>
      </c>
      <c r="W22" t="s">
        <v>134</v>
      </c>
      <c r="X22" s="2" t="s">
        <v>164</v>
      </c>
      <c r="Y22" t="s">
        <v>134</v>
      </c>
      <c r="Z22" t="s">
        <v>155</v>
      </c>
      <c r="AA22" t="s">
        <v>150</v>
      </c>
      <c r="AB22" s="2" t="s">
        <v>150</v>
      </c>
      <c r="AC22" s="39" t="s">
        <v>130</v>
      </c>
      <c r="AD22" t="s">
        <v>163</v>
      </c>
      <c r="AE22" t="s">
        <v>127</v>
      </c>
      <c r="AF22" t="s">
        <v>150</v>
      </c>
      <c r="AG22" s="2"/>
      <c r="AI22" s="11"/>
      <c r="AJ22" s="12"/>
      <c r="AK22" s="2" t="s">
        <v>162</v>
      </c>
      <c r="AL22" t="s">
        <v>136</v>
      </c>
      <c r="AM22" t="s">
        <v>89</v>
      </c>
      <c r="AN22" t="s">
        <v>170</v>
      </c>
      <c r="AO22" t="s">
        <v>175</v>
      </c>
      <c r="AP22" t="s">
        <v>155</v>
      </c>
      <c r="AQ22" s="1" t="s">
        <v>89</v>
      </c>
      <c r="AR22" s="13"/>
      <c r="AS22" s="39" t="s">
        <v>152</v>
      </c>
      <c r="AU22" t="s">
        <v>107</v>
      </c>
      <c r="AW22" t="s">
        <v>104</v>
      </c>
      <c r="AX22" s="39" t="s">
        <v>135</v>
      </c>
      <c r="AZ22" t="s">
        <v>127</v>
      </c>
      <c r="BB22" t="s">
        <v>150</v>
      </c>
      <c r="BC22" s="1"/>
      <c r="BD22" t="s">
        <v>130</v>
      </c>
      <c r="BE22" s="39" t="s">
        <v>123</v>
      </c>
      <c r="BF22" t="s">
        <v>147</v>
      </c>
      <c r="BG22" t="s">
        <v>134</v>
      </c>
      <c r="BH22" t="s">
        <v>150</v>
      </c>
      <c r="BL22" t="s">
        <v>181</v>
      </c>
      <c r="BN22" t="s">
        <v>107</v>
      </c>
    </row>
    <row r="23" spans="1:67" ht="15" customHeight="1" thickBot="1" x14ac:dyDescent="0.3">
      <c r="C23" s="13"/>
      <c r="D23" t="s">
        <v>132</v>
      </c>
      <c r="G23" s="12"/>
      <c r="H23" s="11"/>
      <c r="I23" s="11"/>
      <c r="L23" t="s">
        <v>163</v>
      </c>
      <c r="M23" t="s">
        <v>105</v>
      </c>
      <c r="N23" t="s">
        <v>147</v>
      </c>
      <c r="O23" s="12"/>
      <c r="P23" s="1"/>
      <c r="R23" t="s">
        <v>158</v>
      </c>
      <c r="T23" s="2" t="s">
        <v>163</v>
      </c>
      <c r="U23" t="s">
        <v>127</v>
      </c>
      <c r="V23" t="s">
        <v>138</v>
      </c>
      <c r="W23" t="s">
        <v>150</v>
      </c>
      <c r="X23" t="s">
        <v>107</v>
      </c>
      <c r="Y23" t="s">
        <v>150</v>
      </c>
      <c r="Z23" t="s">
        <v>150</v>
      </c>
      <c r="AA23" t="s">
        <v>164</v>
      </c>
      <c r="AB23" t="s">
        <v>146</v>
      </c>
      <c r="AC23" t="s">
        <v>155</v>
      </c>
      <c r="AD23" s="39" t="s">
        <v>132</v>
      </c>
      <c r="AE23" s="39" t="s">
        <v>132</v>
      </c>
      <c r="AF23" t="s">
        <v>164</v>
      </c>
      <c r="AI23" s="12"/>
      <c r="AJ23" s="13"/>
      <c r="AK23" t="s">
        <v>170</v>
      </c>
      <c r="AL23" s="39" t="s">
        <v>162</v>
      </c>
      <c r="AM23" t="s">
        <v>90</v>
      </c>
      <c r="AN23" t="s">
        <v>170</v>
      </c>
      <c r="AO23" s="39" t="s">
        <v>132</v>
      </c>
      <c r="AP23" s="1" t="s">
        <v>164</v>
      </c>
      <c r="AQ23" t="s">
        <v>136</v>
      </c>
      <c r="AR23" s="13"/>
      <c r="AU23" t="s">
        <v>164</v>
      </c>
      <c r="AW23" t="s">
        <v>120</v>
      </c>
      <c r="AZ23" t="s">
        <v>146</v>
      </c>
      <c r="BB23" t="s">
        <v>107</v>
      </c>
      <c r="BD23" s="2" t="s">
        <v>136</v>
      </c>
      <c r="BE23" t="s">
        <v>150</v>
      </c>
      <c r="BF23" t="s">
        <v>162</v>
      </c>
      <c r="BG23" s="2" t="s">
        <v>107</v>
      </c>
      <c r="BH23" t="s">
        <v>146</v>
      </c>
      <c r="BL23" t="s">
        <v>163</v>
      </c>
      <c r="BN23" t="s">
        <v>181</v>
      </c>
    </row>
    <row r="24" spans="1:67" ht="15" customHeight="1" thickBot="1" x14ac:dyDescent="0.3">
      <c r="D24" s="2" t="s">
        <v>135</v>
      </c>
      <c r="G24" s="12"/>
      <c r="I24" s="11"/>
      <c r="L24" t="s">
        <v>127</v>
      </c>
      <c r="M24" t="s">
        <v>143</v>
      </c>
      <c r="N24" s="39" t="s">
        <v>167</v>
      </c>
      <c r="O24" s="13"/>
      <c r="Q24" s="1"/>
      <c r="R24" s="4" t="s">
        <v>154</v>
      </c>
      <c r="T24" s="39" t="s">
        <v>135</v>
      </c>
      <c r="U24" s="39" t="s">
        <v>135</v>
      </c>
      <c r="V24" s="1" t="s">
        <v>89</v>
      </c>
      <c r="W24" t="s">
        <v>107</v>
      </c>
      <c r="X24" t="s">
        <v>163</v>
      </c>
      <c r="Y24" t="s">
        <v>107</v>
      </c>
      <c r="Z24" t="s">
        <v>164</v>
      </c>
      <c r="AA24" t="s">
        <v>172</v>
      </c>
      <c r="AB24" t="s">
        <v>163</v>
      </c>
      <c r="AC24" t="s">
        <v>134</v>
      </c>
      <c r="AE24" s="12"/>
      <c r="AF24" s="39" t="s">
        <v>132</v>
      </c>
      <c r="AI24" s="40"/>
      <c r="AK24" t="s">
        <v>155</v>
      </c>
      <c r="AL24" s="2" t="s">
        <v>134</v>
      </c>
      <c r="AM24" s="2" t="s">
        <v>161</v>
      </c>
      <c r="AN24" t="s">
        <v>173</v>
      </c>
      <c r="AO24" s="12"/>
      <c r="AP24" t="s">
        <v>146</v>
      </c>
      <c r="AQ24" s="39" t="s">
        <v>173</v>
      </c>
      <c r="AU24" t="s">
        <v>127</v>
      </c>
      <c r="AW24" t="s">
        <v>111</v>
      </c>
      <c r="AZ24" s="39" t="s">
        <v>163</v>
      </c>
      <c r="BB24" t="s">
        <v>175</v>
      </c>
      <c r="BD24" t="s">
        <v>155</v>
      </c>
      <c r="BE24" t="s">
        <v>164</v>
      </c>
      <c r="BF24" t="s">
        <v>155</v>
      </c>
      <c r="BG24" t="s">
        <v>146</v>
      </c>
      <c r="BH24" s="2" t="s">
        <v>163</v>
      </c>
      <c r="BK24" s="2"/>
      <c r="BL24" s="39" t="s">
        <v>127</v>
      </c>
      <c r="BN24" t="s">
        <v>164</v>
      </c>
    </row>
    <row r="25" spans="1:67" ht="15" customHeight="1" thickBot="1" x14ac:dyDescent="0.3">
      <c r="D25" s="11"/>
      <c r="G25" s="12"/>
      <c r="I25" s="12"/>
      <c r="L25" t="s">
        <v>132</v>
      </c>
      <c r="M25" t="s">
        <v>106</v>
      </c>
      <c r="N25" t="s">
        <v>155</v>
      </c>
      <c r="O25" s="13"/>
      <c r="R25" t="s">
        <v>139</v>
      </c>
      <c r="V25" t="s">
        <v>139</v>
      </c>
      <c r="W25" t="s">
        <v>146</v>
      </c>
      <c r="X25" s="39" t="s">
        <v>132</v>
      </c>
      <c r="Y25" t="s">
        <v>127</v>
      </c>
      <c r="Z25" s="39" t="s">
        <v>172</v>
      </c>
      <c r="AA25" s="39" t="s">
        <v>132</v>
      </c>
      <c r="AB25" t="s">
        <v>132</v>
      </c>
      <c r="AC25" t="s">
        <v>164</v>
      </c>
      <c r="AD25" s="2"/>
      <c r="AI25" s="12"/>
      <c r="AK25" t="s">
        <v>150</v>
      </c>
      <c r="AL25" t="s">
        <v>155</v>
      </c>
      <c r="AM25" t="s">
        <v>164</v>
      </c>
      <c r="AN25" t="s">
        <v>162</v>
      </c>
      <c r="AP25" t="s">
        <v>132</v>
      </c>
      <c r="AQ25" t="s">
        <v>177</v>
      </c>
      <c r="AT25" s="2"/>
      <c r="AU25" s="39" t="s">
        <v>135</v>
      </c>
      <c r="AW25" s="2" t="s">
        <v>111</v>
      </c>
      <c r="AY25" s="2"/>
      <c r="AZ25" s="2"/>
      <c r="BB25" t="s">
        <v>163</v>
      </c>
      <c r="BD25" t="s">
        <v>150</v>
      </c>
      <c r="BE25" t="s">
        <v>127</v>
      </c>
      <c r="BF25" t="s">
        <v>150</v>
      </c>
      <c r="BG25" t="s">
        <v>127</v>
      </c>
      <c r="BH25" s="39" t="s">
        <v>135</v>
      </c>
      <c r="BN25" t="s">
        <v>127</v>
      </c>
    </row>
    <row r="26" spans="1:67" ht="15.75" customHeight="1" thickBot="1" x14ac:dyDescent="0.3">
      <c r="D26" s="11"/>
      <c r="G26" s="12"/>
      <c r="I26" s="12"/>
      <c r="L26" s="2" t="s">
        <v>135</v>
      </c>
      <c r="M26" t="s">
        <v>169</v>
      </c>
      <c r="N26" t="s">
        <v>150</v>
      </c>
      <c r="R26" s="2" t="s">
        <v>147</v>
      </c>
      <c r="S26" s="1"/>
      <c r="U26" s="2"/>
      <c r="V26" t="s">
        <v>162</v>
      </c>
      <c r="W26" t="s">
        <v>127</v>
      </c>
      <c r="X26" s="11"/>
      <c r="Y26" t="s">
        <v>176</v>
      </c>
      <c r="AA26" s="1"/>
      <c r="AB26" s="39" t="s">
        <v>135</v>
      </c>
      <c r="AC26" t="s">
        <v>127</v>
      </c>
      <c r="AI26" s="13"/>
      <c r="AK26" t="s">
        <v>107</v>
      </c>
      <c r="AL26" t="s">
        <v>150</v>
      </c>
      <c r="AM26" s="39" t="s">
        <v>163</v>
      </c>
      <c r="AN26" s="39" t="s">
        <v>130</v>
      </c>
      <c r="AP26" s="39" t="s">
        <v>135</v>
      </c>
      <c r="AQ26" s="2" t="s">
        <v>134</v>
      </c>
      <c r="AU26" s="11"/>
      <c r="AW26" t="s">
        <v>109</v>
      </c>
      <c r="BB26" s="2" t="s">
        <v>127</v>
      </c>
      <c r="BD26" t="s">
        <v>107</v>
      </c>
      <c r="BE26" s="39" t="s">
        <v>135</v>
      </c>
      <c r="BF26" t="s">
        <v>107</v>
      </c>
      <c r="BG26" t="s">
        <v>164</v>
      </c>
      <c r="BH26" s="11"/>
      <c r="BN26" t="s">
        <v>132</v>
      </c>
    </row>
    <row r="27" spans="1:67" ht="15" customHeight="1" thickBot="1" x14ac:dyDescent="0.3">
      <c r="D27" s="11"/>
      <c r="G27" s="13"/>
      <c r="I27" s="12"/>
      <c r="L27" s="11"/>
      <c r="M27" t="s">
        <v>89</v>
      </c>
      <c r="N27" t="s">
        <v>107</v>
      </c>
      <c r="R27" t="s">
        <v>134</v>
      </c>
      <c r="V27" t="s">
        <v>167</v>
      </c>
      <c r="W27" t="s">
        <v>135</v>
      </c>
      <c r="X27" s="12"/>
      <c r="Y27" s="39" t="s">
        <v>135</v>
      </c>
      <c r="AC27" s="39" t="s">
        <v>132</v>
      </c>
      <c r="AK27" t="s">
        <v>164</v>
      </c>
      <c r="AL27" t="s">
        <v>164</v>
      </c>
      <c r="AM27" s="12"/>
      <c r="AN27" s="2" t="s">
        <v>177</v>
      </c>
      <c r="AP27" s="11"/>
      <c r="AQ27" t="s">
        <v>107</v>
      </c>
      <c r="AS27" s="2"/>
      <c r="AW27" t="s">
        <v>87</v>
      </c>
      <c r="AX27" s="2"/>
      <c r="BB27" s="39" t="s">
        <v>132</v>
      </c>
      <c r="BC27" s="2"/>
      <c r="BD27" t="s">
        <v>164</v>
      </c>
      <c r="BF27" t="s">
        <v>172</v>
      </c>
      <c r="BG27" s="39" t="s">
        <v>132</v>
      </c>
      <c r="BH27" s="12"/>
      <c r="BM27" s="2"/>
      <c r="BN27" s="39" t="s">
        <v>135</v>
      </c>
    </row>
    <row r="28" spans="1:67" ht="15" customHeight="1" thickBot="1" x14ac:dyDescent="0.3">
      <c r="D28" s="12"/>
      <c r="G28" s="13"/>
      <c r="I28" s="12"/>
      <c r="L28" s="11"/>
      <c r="M28" t="s">
        <v>160</v>
      </c>
      <c r="N28" t="s">
        <v>176</v>
      </c>
      <c r="P28" s="2"/>
      <c r="R28" t="s">
        <v>150</v>
      </c>
      <c r="V28" s="39" t="s">
        <v>147</v>
      </c>
      <c r="W28" s="39" t="s">
        <v>132</v>
      </c>
      <c r="X28" s="12"/>
      <c r="AK28" t="s">
        <v>181</v>
      </c>
      <c r="AL28" s="39" t="s">
        <v>127</v>
      </c>
      <c r="AM28" s="12"/>
      <c r="AN28" t="s">
        <v>177</v>
      </c>
      <c r="AP28" s="12"/>
      <c r="AQ28" t="s">
        <v>172</v>
      </c>
      <c r="AU28" s="1"/>
      <c r="AV28" s="2"/>
      <c r="AW28" t="s">
        <v>98</v>
      </c>
      <c r="BB28" s="11"/>
      <c r="BD28" t="s">
        <v>163</v>
      </c>
      <c r="BF28" t="s">
        <v>164</v>
      </c>
    </row>
    <row r="29" spans="1:67" ht="15" customHeight="1" x14ac:dyDescent="0.25">
      <c r="D29" s="12"/>
      <c r="I29" s="13"/>
      <c r="L29" s="12"/>
      <c r="M29" t="s">
        <v>139</v>
      </c>
      <c r="N29" t="s">
        <v>163</v>
      </c>
      <c r="R29" t="s">
        <v>127</v>
      </c>
      <c r="V29" t="s">
        <v>155</v>
      </c>
      <c r="AK29" t="s">
        <v>163</v>
      </c>
      <c r="AL29" s="11"/>
      <c r="AM29" s="12"/>
      <c r="AN29" t="s">
        <v>150</v>
      </c>
      <c r="AP29" s="12"/>
      <c r="AQ29" t="s">
        <v>163</v>
      </c>
      <c r="AW29" t="s">
        <v>98</v>
      </c>
      <c r="BD29" t="s">
        <v>181</v>
      </c>
      <c r="BF29" t="s">
        <v>127</v>
      </c>
    </row>
    <row r="30" spans="1:67" ht="15" customHeight="1" thickBot="1" x14ac:dyDescent="0.3">
      <c r="D30" s="12"/>
      <c r="I30" s="13"/>
      <c r="L30" s="12"/>
      <c r="M30" s="1" t="s">
        <v>154</v>
      </c>
      <c r="N30" s="39" t="s">
        <v>132</v>
      </c>
      <c r="O30" s="2"/>
      <c r="Q30" s="2"/>
      <c r="R30" t="s">
        <v>132</v>
      </c>
      <c r="V30" s="2" t="s">
        <v>150</v>
      </c>
      <c r="AK30" s="39" t="s">
        <v>132</v>
      </c>
      <c r="AL30" s="11"/>
      <c r="AM30" s="12"/>
      <c r="AN30" t="s">
        <v>172</v>
      </c>
      <c r="AP30" s="40"/>
      <c r="AQ30" s="39" t="s">
        <v>132</v>
      </c>
      <c r="AR30" s="2"/>
      <c r="AW30" t="s">
        <v>116</v>
      </c>
      <c r="BD30" s="39" t="s">
        <v>132</v>
      </c>
      <c r="BF30" s="39" t="s">
        <v>135</v>
      </c>
    </row>
    <row r="31" spans="1:67" ht="15" customHeight="1" thickBot="1" x14ac:dyDescent="0.3">
      <c r="D31" s="12"/>
      <c r="L31" s="12"/>
      <c r="M31" t="s">
        <v>134</v>
      </c>
      <c r="N31" s="11"/>
      <c r="R31" s="39" t="s">
        <v>135</v>
      </c>
      <c r="V31" t="s">
        <v>146</v>
      </c>
      <c r="AA31" s="2"/>
      <c r="AK31" s="11"/>
      <c r="AL31" s="12"/>
      <c r="AN31" t="s">
        <v>172</v>
      </c>
      <c r="AP31" s="13"/>
      <c r="AQ31" s="11"/>
      <c r="AW31" t="s">
        <v>116</v>
      </c>
      <c r="BF31" s="11"/>
    </row>
    <row r="32" spans="1:67" ht="15" customHeight="1" x14ac:dyDescent="0.25">
      <c r="D32" s="13"/>
      <c r="L32" s="12"/>
      <c r="M32" t="s">
        <v>150</v>
      </c>
      <c r="N32" s="12"/>
      <c r="R32" s="11"/>
      <c r="V32" t="s">
        <v>164</v>
      </c>
      <c r="AK32" s="11"/>
      <c r="AL32" s="12"/>
      <c r="AN32" t="s">
        <v>146</v>
      </c>
      <c r="AP32" s="13"/>
      <c r="AQ32" s="11"/>
      <c r="AW32" t="s">
        <v>156</v>
      </c>
      <c r="BF32" s="11"/>
    </row>
    <row r="33" spans="4:49" ht="15" customHeight="1" x14ac:dyDescent="0.25">
      <c r="D33" s="13"/>
      <c r="L33" s="12"/>
      <c r="M33" t="s">
        <v>107</v>
      </c>
      <c r="N33" s="12"/>
      <c r="R33" s="12"/>
      <c r="V33" t="s">
        <v>127</v>
      </c>
      <c r="AK33" s="12"/>
      <c r="AL33" s="12"/>
      <c r="AN33" t="s">
        <v>107</v>
      </c>
      <c r="AQ33" s="12"/>
      <c r="AW33" t="s">
        <v>88</v>
      </c>
    </row>
    <row r="34" spans="4:49" ht="15" customHeight="1" thickBot="1" x14ac:dyDescent="0.3">
      <c r="L34" s="13"/>
      <c r="M34" t="s">
        <v>164</v>
      </c>
      <c r="N34" s="12"/>
      <c r="R34" s="12"/>
      <c r="V34" s="39" t="s">
        <v>132</v>
      </c>
      <c r="AK34" s="12"/>
      <c r="AL34" s="12"/>
      <c r="AN34" t="s">
        <v>163</v>
      </c>
      <c r="AQ34" s="12"/>
      <c r="AU34" s="2"/>
      <c r="AW34" t="s">
        <v>118</v>
      </c>
    </row>
    <row r="35" spans="4:49" ht="15" customHeight="1" x14ac:dyDescent="0.25">
      <c r="L35" s="13"/>
      <c r="M35" t="s">
        <v>132</v>
      </c>
      <c r="N35" s="12"/>
      <c r="AK35" s="12"/>
      <c r="AL35" s="13"/>
      <c r="AN35" t="s">
        <v>163</v>
      </c>
      <c r="AQ35" s="12"/>
      <c r="AW35" t="s">
        <v>145</v>
      </c>
    </row>
    <row r="36" spans="4:49" ht="15" customHeight="1" thickBot="1" x14ac:dyDescent="0.3">
      <c r="M36" s="2" t="s">
        <v>163</v>
      </c>
      <c r="N36" s="13"/>
      <c r="AK36" s="12"/>
      <c r="AL36" s="13"/>
      <c r="AN36" t="s">
        <v>132</v>
      </c>
      <c r="AQ36" s="13"/>
      <c r="AW36" t="s">
        <v>129</v>
      </c>
    </row>
    <row r="37" spans="4:49" ht="15" customHeight="1" x14ac:dyDescent="0.25">
      <c r="M37" s="11"/>
      <c r="AK37" s="12"/>
      <c r="AN37" t="s">
        <v>135</v>
      </c>
      <c r="AW37" t="s">
        <v>149</v>
      </c>
    </row>
    <row r="38" spans="4:49" ht="15" customHeight="1" thickBot="1" x14ac:dyDescent="0.3">
      <c r="M38" s="11"/>
      <c r="S38" s="2"/>
      <c r="AK38" s="13"/>
      <c r="AN38" s="39" t="s">
        <v>132</v>
      </c>
      <c r="AW38" t="s">
        <v>139</v>
      </c>
    </row>
    <row r="39" spans="4:49" ht="15" customHeight="1" x14ac:dyDescent="0.25">
      <c r="M39" s="12"/>
      <c r="AK39" s="13"/>
      <c r="AN39" s="11"/>
      <c r="AW39" t="s">
        <v>91</v>
      </c>
    </row>
    <row r="40" spans="4:49" ht="15" customHeight="1" x14ac:dyDescent="0.25">
      <c r="M40" s="12"/>
      <c r="AN40" s="12"/>
      <c r="AW40" t="s">
        <v>91</v>
      </c>
    </row>
    <row r="41" spans="4:49" ht="15" customHeight="1" x14ac:dyDescent="0.25">
      <c r="M41" s="12"/>
      <c r="AN41" s="12"/>
      <c r="AW41" t="s">
        <v>159</v>
      </c>
    </row>
    <row r="42" spans="4:49" ht="15" customHeight="1" x14ac:dyDescent="0.25">
      <c r="M42" s="12"/>
      <c r="AN42" s="12"/>
      <c r="AW42" t="s">
        <v>154</v>
      </c>
    </row>
    <row r="43" spans="4:49" ht="15" customHeight="1" x14ac:dyDescent="0.25">
      <c r="M43" s="12"/>
      <c r="AN43" s="13"/>
      <c r="AW43" t="s">
        <v>151</v>
      </c>
    </row>
    <row r="44" spans="4:49" ht="15" customHeight="1" x14ac:dyDescent="0.25">
      <c r="M44" s="13"/>
      <c r="AN44" s="13"/>
      <c r="AW44" t="s">
        <v>130</v>
      </c>
    </row>
    <row r="45" spans="4:49" ht="15" customHeight="1" x14ac:dyDescent="0.25">
      <c r="M45" s="13"/>
      <c r="AW45" t="s">
        <v>162</v>
      </c>
    </row>
    <row r="46" spans="4:49" ht="15" customHeight="1" x14ac:dyDescent="0.25">
      <c r="AW46" t="s">
        <v>173</v>
      </c>
    </row>
    <row r="47" spans="4:49" ht="15" customHeight="1" thickBot="1" x14ac:dyDescent="0.3">
      <c r="AF47" s="1"/>
      <c r="AW47" s="39" t="s">
        <v>147</v>
      </c>
    </row>
    <row r="48" spans="4:49" ht="15" customHeight="1" x14ac:dyDescent="0.25">
      <c r="AW48" t="s">
        <v>155</v>
      </c>
    </row>
    <row r="49" spans="32:49" ht="15" customHeight="1" x14ac:dyDescent="0.25">
      <c r="AW49" t="s">
        <v>134</v>
      </c>
    </row>
    <row r="50" spans="32:49" ht="15" customHeight="1" x14ac:dyDescent="0.25">
      <c r="AW50" t="s">
        <v>150</v>
      </c>
    </row>
    <row r="51" spans="32:49" ht="15" customHeight="1" x14ac:dyDescent="0.25">
      <c r="AW51" t="s">
        <v>175</v>
      </c>
    </row>
    <row r="52" spans="32:49" ht="15" customHeight="1" x14ac:dyDescent="0.25">
      <c r="AW52" t="s">
        <v>163</v>
      </c>
    </row>
    <row r="53" spans="32:49" ht="15" customHeight="1" x14ac:dyDescent="0.25">
      <c r="AW53" t="s">
        <v>127</v>
      </c>
    </row>
    <row r="54" spans="32:49" ht="15" customHeight="1" x14ac:dyDescent="0.25">
      <c r="AW54" t="s">
        <v>146</v>
      </c>
    </row>
    <row r="55" spans="32:49" ht="15" customHeight="1" x14ac:dyDescent="0.25">
      <c r="AW55" t="s">
        <v>132</v>
      </c>
    </row>
    <row r="56" spans="32:49" ht="15" customHeight="1" x14ac:dyDescent="0.25">
      <c r="AW56" t="s">
        <v>135</v>
      </c>
    </row>
    <row r="57" spans="32:49" ht="15" customHeight="1" thickBot="1" x14ac:dyDescent="0.3">
      <c r="AF57" s="2"/>
      <c r="AW57" s="39" t="s">
        <v>135</v>
      </c>
    </row>
    <row r="58" spans="32:49" ht="15" customHeight="1" x14ac:dyDescent="0.25">
      <c r="AW58" s="11"/>
    </row>
    <row r="59" spans="32:49" ht="15" customHeight="1" x14ac:dyDescent="0.25">
      <c r="AW59" s="11"/>
    </row>
    <row r="60" spans="32:49" ht="15" customHeight="1" x14ac:dyDescent="0.25">
      <c r="AW60" s="12"/>
    </row>
    <row r="62" spans="32:49" ht="15" customHeight="1" x14ac:dyDescent="0.25">
      <c r="AW62" s="12"/>
    </row>
    <row r="63" spans="32:49" ht="15" customHeight="1" x14ac:dyDescent="0.25">
      <c r="AW63" s="12"/>
    </row>
    <row r="64" spans="32:49" ht="15" customHeight="1" x14ac:dyDescent="0.25">
      <c r="AW64" s="13"/>
    </row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sortState xmlns:xlrd2="http://schemas.microsoft.com/office/spreadsheetml/2017/richdata2" columnSort="1" ref="A1:BV73">
    <sortCondition descending="1" ref="A2:BV2"/>
  </sortState>
  <pageMargins left="0.7" right="0.7" top="0.75" bottom="0.75" header="0.3" footer="0.3"/>
  <pageSetup paperSize="9"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M42"/>
  <sheetViews>
    <sheetView zoomScaleNormal="100" workbookViewId="0">
      <selection activeCell="BQ1" sqref="BQ1"/>
    </sheetView>
  </sheetViews>
  <sheetFormatPr defaultRowHeight="14.45" customHeight="1" x14ac:dyDescent="0.25"/>
  <cols>
    <col min="1" max="1" width="14.5703125" customWidth="1"/>
    <col min="2" max="2" width="12.7109375" customWidth="1"/>
    <col min="3" max="3" width="10.5703125" customWidth="1"/>
    <col min="4" max="5" width="12" customWidth="1"/>
    <col min="6" max="6" width="17.42578125" customWidth="1"/>
    <col min="7" max="7" width="15.5703125" customWidth="1"/>
    <col min="8" max="8" width="16" customWidth="1"/>
    <col min="9" max="9" width="13" customWidth="1"/>
    <col min="10" max="10" width="13.7109375" customWidth="1"/>
    <col min="11" max="11" width="13.42578125" customWidth="1"/>
    <col min="13" max="13" width="19" customWidth="1"/>
    <col min="15" max="15" width="19.5703125" customWidth="1"/>
    <col min="16" max="16" width="20.42578125" customWidth="1"/>
    <col min="18" max="18" width="20.28515625" customWidth="1"/>
    <col min="19" max="19" width="15.85546875" customWidth="1"/>
    <col min="21" max="21" width="30.42578125" customWidth="1"/>
    <col min="24" max="24" width="17.42578125" customWidth="1"/>
    <col min="27" max="27" width="22.85546875" customWidth="1"/>
    <col min="31" max="31" width="19" customWidth="1"/>
    <col min="32" max="32" width="10.7109375" customWidth="1"/>
    <col min="35" max="35" width="13.7109375" customWidth="1"/>
    <col min="36" max="36" width="14.140625" customWidth="1"/>
    <col min="37" max="37" width="14.5703125" customWidth="1"/>
    <col min="40" max="40" width="15.5703125" customWidth="1"/>
    <col min="42" max="42" width="15.42578125" customWidth="1"/>
    <col min="43" max="43" width="23.28515625" customWidth="1"/>
    <col min="45" max="45" width="11.42578125" customWidth="1"/>
    <col min="47" max="47" width="12.85546875" customWidth="1"/>
    <col min="49" max="49" width="15.7109375" customWidth="1"/>
    <col min="50" max="50" width="14" customWidth="1"/>
    <col min="51" max="51" width="16.5703125" customWidth="1"/>
    <col min="54" max="54" width="12.140625" customWidth="1"/>
    <col min="58" max="58" width="28.5703125" customWidth="1"/>
    <col min="59" max="59" width="18.28515625" customWidth="1"/>
    <col min="60" max="60" width="13.140625" customWidth="1"/>
    <col min="61" max="61" width="11" customWidth="1"/>
    <col min="62" max="62" width="12.7109375" customWidth="1"/>
    <col min="66" max="66" width="13.85546875" customWidth="1"/>
    <col min="67" max="67" width="14.85546875" customWidth="1"/>
    <col min="68" max="68" width="15" customWidth="1"/>
    <col min="72" max="72" width="17.140625" customWidth="1"/>
    <col min="85" max="85" width="13.7109375" customWidth="1"/>
    <col min="87" max="87" width="17.28515625" customWidth="1"/>
  </cols>
  <sheetData>
    <row r="3" spans="1:117" ht="15" customHeight="1" x14ac:dyDescent="0.25">
      <c r="A3" t="s">
        <v>74</v>
      </c>
      <c r="B3" t="s">
        <v>78</v>
      </c>
      <c r="C3" t="s">
        <v>76</v>
      </c>
      <c r="D3" t="s">
        <v>75</v>
      </c>
      <c r="E3" t="s">
        <v>77</v>
      </c>
      <c r="F3" t="s">
        <v>80</v>
      </c>
      <c r="G3" t="s">
        <v>83</v>
      </c>
      <c r="H3" t="s">
        <v>79</v>
      </c>
      <c r="I3" t="s">
        <v>81</v>
      </c>
      <c r="J3" t="s">
        <v>82</v>
      </c>
      <c r="K3" t="s">
        <v>94</v>
      </c>
      <c r="L3" t="s">
        <v>110</v>
      </c>
      <c r="M3" t="s">
        <v>114</v>
      </c>
      <c r="N3" t="s">
        <v>93</v>
      </c>
      <c r="O3" t="s">
        <v>84</v>
      </c>
      <c r="P3" t="s">
        <v>100</v>
      </c>
      <c r="Q3" t="s">
        <v>85</v>
      </c>
      <c r="R3" t="s">
        <v>115</v>
      </c>
      <c r="S3" t="s">
        <v>86</v>
      </c>
      <c r="T3" t="s">
        <v>113</v>
      </c>
      <c r="U3" t="s">
        <v>101</v>
      </c>
      <c r="V3" t="s">
        <v>109</v>
      </c>
      <c r="W3" t="s">
        <v>108</v>
      </c>
      <c r="X3" t="s">
        <v>112</v>
      </c>
      <c r="Y3" t="s">
        <v>121</v>
      </c>
      <c r="Z3" t="s">
        <v>103</v>
      </c>
      <c r="AA3" t="s">
        <v>95</v>
      </c>
      <c r="AB3" t="s">
        <v>133</v>
      </c>
      <c r="AC3" t="s">
        <v>96</v>
      </c>
      <c r="AD3" t="s">
        <v>102</v>
      </c>
      <c r="AE3" t="s">
        <v>97</v>
      </c>
      <c r="AF3" t="s">
        <v>119</v>
      </c>
      <c r="AG3" t="s">
        <v>104</v>
      </c>
      <c r="AH3" t="s">
        <v>120</v>
      </c>
      <c r="AI3" t="s">
        <v>111</v>
      </c>
      <c r="AJ3" t="s">
        <v>87</v>
      </c>
      <c r="AK3" t="s">
        <v>99</v>
      </c>
      <c r="AL3" t="s">
        <v>126</v>
      </c>
      <c r="AM3" t="s">
        <v>98</v>
      </c>
      <c r="AN3" t="s">
        <v>128</v>
      </c>
      <c r="AO3" t="s">
        <v>116</v>
      </c>
      <c r="AP3" t="s">
        <v>124</v>
      </c>
      <c r="AQ3" t="s">
        <v>122</v>
      </c>
      <c r="AR3" t="s">
        <v>140</v>
      </c>
      <c r="AS3" t="s">
        <v>105</v>
      </c>
      <c r="AT3" t="s">
        <v>156</v>
      </c>
      <c r="AU3" t="s">
        <v>88</v>
      </c>
      <c r="AV3" t="s">
        <v>118</v>
      </c>
      <c r="AW3" t="s">
        <v>137</v>
      </c>
      <c r="AX3" t="s">
        <v>143</v>
      </c>
      <c r="AY3" t="s">
        <v>145</v>
      </c>
      <c r="AZ3" t="s">
        <v>131</v>
      </c>
      <c r="BA3" t="s">
        <v>129</v>
      </c>
      <c r="BB3" t="s">
        <v>106</v>
      </c>
      <c r="BC3" t="s">
        <v>153</v>
      </c>
      <c r="BD3" t="s">
        <v>138</v>
      </c>
      <c r="BE3" t="s">
        <v>160</v>
      </c>
      <c r="BF3" t="s">
        <v>141</v>
      </c>
      <c r="BG3" t="s">
        <v>151</v>
      </c>
      <c r="BH3" t="s">
        <v>149</v>
      </c>
      <c r="BI3" t="s">
        <v>139</v>
      </c>
      <c r="BJ3" t="s">
        <v>117</v>
      </c>
      <c r="BK3" t="s">
        <v>169</v>
      </c>
      <c r="BL3" t="s">
        <v>148</v>
      </c>
      <c r="BM3" t="s">
        <v>89</v>
      </c>
      <c r="BN3" t="s">
        <v>154</v>
      </c>
      <c r="BO3" t="s">
        <v>91</v>
      </c>
      <c r="BP3" t="s">
        <v>158</v>
      </c>
      <c r="BQ3" t="s">
        <v>125</v>
      </c>
      <c r="BR3" t="s">
        <v>159</v>
      </c>
      <c r="BS3" t="s">
        <v>90</v>
      </c>
      <c r="BT3" t="s">
        <v>144</v>
      </c>
      <c r="BU3" t="s">
        <v>136</v>
      </c>
      <c r="BV3" t="s">
        <v>142</v>
      </c>
      <c r="BW3" t="s">
        <v>162</v>
      </c>
      <c r="BX3" t="s">
        <v>147</v>
      </c>
      <c r="BY3" t="s">
        <v>130</v>
      </c>
      <c r="BZ3" t="s">
        <v>161</v>
      </c>
      <c r="CA3" t="s">
        <v>173</v>
      </c>
      <c r="CB3" t="s">
        <v>167</v>
      </c>
      <c r="CC3" t="s">
        <v>123</v>
      </c>
      <c r="CD3" t="s">
        <v>170</v>
      </c>
      <c r="CE3" t="s">
        <v>177</v>
      </c>
      <c r="CF3" t="s">
        <v>155</v>
      </c>
      <c r="CG3" t="s">
        <v>157</v>
      </c>
      <c r="CH3" t="s">
        <v>134</v>
      </c>
      <c r="CI3" t="s">
        <v>150</v>
      </c>
      <c r="CJ3" t="s">
        <v>107</v>
      </c>
      <c r="CK3" t="s">
        <v>164</v>
      </c>
      <c r="CL3" t="s">
        <v>175</v>
      </c>
      <c r="CM3" t="s">
        <v>172</v>
      </c>
      <c r="CN3" t="s">
        <v>181</v>
      </c>
      <c r="CO3" t="s">
        <v>146</v>
      </c>
      <c r="CP3" t="s">
        <v>176</v>
      </c>
      <c r="CQ3" t="s">
        <v>163</v>
      </c>
      <c r="CR3" t="s">
        <v>152</v>
      </c>
      <c r="CS3" t="s">
        <v>127</v>
      </c>
      <c r="CT3" t="s">
        <v>132</v>
      </c>
      <c r="CU3" t="s">
        <v>135</v>
      </c>
      <c r="CV3" t="s">
        <v>166</v>
      </c>
      <c r="CW3" t="s">
        <v>165</v>
      </c>
      <c r="CX3" t="s">
        <v>182</v>
      </c>
      <c r="CY3" t="s">
        <v>168</v>
      </c>
      <c r="CZ3" t="s">
        <v>171</v>
      </c>
      <c r="DA3" t="s">
        <v>179</v>
      </c>
      <c r="DB3" t="s">
        <v>174</v>
      </c>
      <c r="DC3" t="s">
        <v>178</v>
      </c>
      <c r="DD3" t="s">
        <v>186</v>
      </c>
      <c r="DE3" t="s">
        <v>180</v>
      </c>
      <c r="DF3" t="s">
        <v>183</v>
      </c>
      <c r="DG3" t="s">
        <v>184</v>
      </c>
      <c r="DH3" t="s">
        <v>191</v>
      </c>
      <c r="DI3" t="s">
        <v>188</v>
      </c>
      <c r="DJ3" t="s">
        <v>185</v>
      </c>
      <c r="DK3" t="s">
        <v>190</v>
      </c>
      <c r="DL3" t="s">
        <v>189</v>
      </c>
      <c r="DM3" t="s">
        <v>187</v>
      </c>
    </row>
    <row r="4" spans="1:117" ht="15" customHeight="1" x14ac:dyDescent="0.25">
      <c r="A4" t="s">
        <v>36</v>
      </c>
      <c r="B4" t="s">
        <v>46</v>
      </c>
      <c r="C4" t="s">
        <v>11</v>
      </c>
      <c r="D4" t="s">
        <v>3</v>
      </c>
      <c r="E4" t="s">
        <v>11</v>
      </c>
      <c r="F4" t="s">
        <v>30</v>
      </c>
      <c r="G4" t="s">
        <v>46</v>
      </c>
      <c r="H4" t="s">
        <v>31</v>
      </c>
      <c r="I4" t="s">
        <v>44</v>
      </c>
      <c r="J4" t="s">
        <v>36</v>
      </c>
      <c r="K4" t="s">
        <v>57</v>
      </c>
      <c r="L4" t="s">
        <v>39</v>
      </c>
      <c r="M4" t="s">
        <v>50</v>
      </c>
      <c r="N4" t="s">
        <v>3</v>
      </c>
      <c r="O4" t="s">
        <v>29</v>
      </c>
      <c r="P4" t="s">
        <v>44</v>
      </c>
      <c r="Q4" t="s">
        <v>3</v>
      </c>
      <c r="R4" t="s">
        <v>31</v>
      </c>
      <c r="S4" t="s">
        <v>39</v>
      </c>
      <c r="T4" t="s">
        <v>11</v>
      </c>
      <c r="U4" t="s">
        <v>12</v>
      </c>
      <c r="V4" t="s">
        <v>59</v>
      </c>
      <c r="W4" t="s">
        <v>4</v>
      </c>
      <c r="X4" t="s">
        <v>39</v>
      </c>
      <c r="Y4" t="s">
        <v>27</v>
      </c>
      <c r="Z4" t="s">
        <v>33</v>
      </c>
      <c r="AA4" t="s">
        <v>54</v>
      </c>
      <c r="AB4" t="s">
        <v>14</v>
      </c>
      <c r="AC4" t="s">
        <v>30</v>
      </c>
      <c r="AD4" t="s">
        <v>39</v>
      </c>
      <c r="AE4" t="s">
        <v>0</v>
      </c>
      <c r="AF4" t="s">
        <v>39</v>
      </c>
      <c r="AG4" t="s">
        <v>33</v>
      </c>
      <c r="AH4" t="s">
        <v>13</v>
      </c>
      <c r="AI4" t="s">
        <v>12</v>
      </c>
      <c r="AJ4" t="s">
        <v>14</v>
      </c>
      <c r="AK4" t="s">
        <v>18</v>
      </c>
      <c r="AL4" t="s">
        <v>44</v>
      </c>
      <c r="AM4" t="s">
        <v>5</v>
      </c>
      <c r="AN4" t="s">
        <v>13</v>
      </c>
      <c r="AO4" t="s">
        <v>29</v>
      </c>
      <c r="AP4" t="s">
        <v>1</v>
      </c>
      <c r="AQ4" t="s">
        <v>44</v>
      </c>
      <c r="AR4" t="s">
        <v>27</v>
      </c>
      <c r="AS4" t="s">
        <v>33</v>
      </c>
      <c r="AT4" t="s">
        <v>31</v>
      </c>
      <c r="AU4" t="s">
        <v>1</v>
      </c>
      <c r="AV4" t="s">
        <v>4</v>
      </c>
      <c r="AW4" t="s">
        <v>3</v>
      </c>
      <c r="AX4" t="s">
        <v>12</v>
      </c>
      <c r="AY4" t="s">
        <v>31</v>
      </c>
      <c r="AZ4" t="s">
        <v>50</v>
      </c>
      <c r="BA4" t="s">
        <v>44</v>
      </c>
      <c r="BB4" t="s">
        <v>0</v>
      </c>
      <c r="BC4" t="s">
        <v>18</v>
      </c>
      <c r="BD4" t="s">
        <v>46</v>
      </c>
      <c r="BE4" t="s">
        <v>12</v>
      </c>
      <c r="BF4" t="s">
        <v>57</v>
      </c>
      <c r="BG4" t="s">
        <v>33</v>
      </c>
      <c r="BH4" t="s">
        <v>31</v>
      </c>
      <c r="BI4" t="s">
        <v>31</v>
      </c>
      <c r="BJ4" t="s">
        <v>30</v>
      </c>
      <c r="BK4" t="s">
        <v>50</v>
      </c>
      <c r="BL4" t="s">
        <v>65</v>
      </c>
      <c r="BM4" t="s">
        <v>13</v>
      </c>
      <c r="BN4" t="s">
        <v>31</v>
      </c>
      <c r="BO4" t="s">
        <v>73</v>
      </c>
      <c r="BP4" t="s">
        <v>18</v>
      </c>
      <c r="BQ4" t="s">
        <v>36</v>
      </c>
      <c r="BR4" t="s">
        <v>31</v>
      </c>
      <c r="BS4" t="s">
        <v>0</v>
      </c>
      <c r="BT4" t="s">
        <v>3</v>
      </c>
      <c r="BU4" t="s">
        <v>57</v>
      </c>
      <c r="BV4" t="s">
        <v>13</v>
      </c>
      <c r="BW4" t="s">
        <v>39</v>
      </c>
      <c r="BX4" t="s">
        <v>57</v>
      </c>
      <c r="BY4" t="s">
        <v>13</v>
      </c>
      <c r="BZ4" t="s">
        <v>17</v>
      </c>
      <c r="CA4" t="s">
        <v>31</v>
      </c>
      <c r="CB4" t="s">
        <v>46</v>
      </c>
      <c r="CC4" t="s">
        <v>33</v>
      </c>
      <c r="CD4" t="s">
        <v>18</v>
      </c>
      <c r="CE4" t="s">
        <v>18</v>
      </c>
      <c r="CF4" t="s">
        <v>54</v>
      </c>
      <c r="CG4" t="s">
        <v>27</v>
      </c>
      <c r="CH4" t="s">
        <v>11</v>
      </c>
      <c r="CI4" t="s">
        <v>39</v>
      </c>
      <c r="CJ4" t="s">
        <v>39</v>
      </c>
      <c r="CK4" t="s">
        <v>54</v>
      </c>
      <c r="CL4" t="s">
        <v>39</v>
      </c>
      <c r="CM4" t="s">
        <v>18</v>
      </c>
      <c r="CN4" t="s">
        <v>14</v>
      </c>
      <c r="CO4" t="s">
        <v>57</v>
      </c>
      <c r="CP4" t="s">
        <v>37</v>
      </c>
      <c r="CQ4" t="s">
        <v>31</v>
      </c>
      <c r="CR4" t="s">
        <v>57</v>
      </c>
      <c r="CS4" t="s">
        <v>5</v>
      </c>
      <c r="CT4" t="s">
        <v>14</v>
      </c>
      <c r="CU4" t="s">
        <v>5</v>
      </c>
      <c r="CV4" t="s">
        <v>39</v>
      </c>
      <c r="CW4" t="s">
        <v>3</v>
      </c>
      <c r="CX4" t="s">
        <v>3</v>
      </c>
      <c r="CY4" t="s">
        <v>13</v>
      </c>
      <c r="CZ4" t="s">
        <v>13</v>
      </c>
      <c r="DA4" t="s">
        <v>18</v>
      </c>
      <c r="DB4" t="s">
        <v>11</v>
      </c>
      <c r="DC4" t="s">
        <v>12</v>
      </c>
      <c r="DD4" t="s">
        <v>3</v>
      </c>
      <c r="DE4" t="s">
        <v>31</v>
      </c>
      <c r="DF4" t="s">
        <v>13</v>
      </c>
      <c r="DG4" t="s">
        <v>18</v>
      </c>
      <c r="DH4" t="s">
        <v>13</v>
      </c>
      <c r="DI4" t="s">
        <v>14</v>
      </c>
      <c r="DJ4" t="s">
        <v>3</v>
      </c>
      <c r="DK4" t="s">
        <v>31</v>
      </c>
      <c r="DL4" t="s">
        <v>14</v>
      </c>
      <c r="DM4" t="s">
        <v>13</v>
      </c>
    </row>
    <row r="5" spans="1:117" ht="15" customHeight="1" x14ac:dyDescent="0.25">
      <c r="A5" t="s">
        <v>58</v>
      </c>
      <c r="B5" t="s">
        <v>31</v>
      </c>
      <c r="C5" t="s">
        <v>12</v>
      </c>
      <c r="D5" t="s">
        <v>57</v>
      </c>
      <c r="E5" t="s">
        <v>59</v>
      </c>
      <c r="F5" t="s">
        <v>63</v>
      </c>
      <c r="G5" t="s">
        <v>58</v>
      </c>
      <c r="H5" t="s">
        <v>62</v>
      </c>
      <c r="I5" t="s">
        <v>29</v>
      </c>
      <c r="J5" t="s">
        <v>37</v>
      </c>
      <c r="K5" t="s">
        <v>0</v>
      </c>
      <c r="L5" t="s">
        <v>31</v>
      </c>
      <c r="M5" t="s">
        <v>12</v>
      </c>
      <c r="N5" t="s">
        <v>42</v>
      </c>
      <c r="O5" t="s">
        <v>63</v>
      </c>
      <c r="P5" t="s">
        <v>2</v>
      </c>
      <c r="Q5" t="s">
        <v>0</v>
      </c>
      <c r="R5" t="s">
        <v>11</v>
      </c>
      <c r="S5" t="s">
        <v>27</v>
      </c>
      <c r="T5" t="s">
        <v>36</v>
      </c>
      <c r="U5" t="s">
        <v>47</v>
      </c>
      <c r="V5" t="s">
        <v>58</v>
      </c>
      <c r="W5" t="s">
        <v>2</v>
      </c>
      <c r="X5" t="s">
        <v>62</v>
      </c>
      <c r="Y5" t="s">
        <v>42</v>
      </c>
      <c r="Z5" t="s">
        <v>30</v>
      </c>
      <c r="AA5" t="s">
        <v>36</v>
      </c>
      <c r="AB5" t="s">
        <v>21</v>
      </c>
      <c r="AC5" t="s">
        <v>63</v>
      </c>
      <c r="AD5" t="s">
        <v>65</v>
      </c>
      <c r="AE5" t="s">
        <v>1</v>
      </c>
      <c r="AF5" t="s">
        <v>4</v>
      </c>
      <c r="AG5" t="s">
        <v>42</v>
      </c>
      <c r="AH5" t="s">
        <v>21</v>
      </c>
      <c r="AI5" t="s">
        <v>58</v>
      </c>
      <c r="AJ5" t="s">
        <v>21</v>
      </c>
      <c r="AK5" t="s">
        <v>36</v>
      </c>
      <c r="AL5" t="s">
        <v>42</v>
      </c>
      <c r="AM5" t="s">
        <v>4</v>
      </c>
      <c r="AN5" t="s">
        <v>63</v>
      </c>
      <c r="AO5" t="s">
        <v>30</v>
      </c>
      <c r="AP5" t="s">
        <v>29</v>
      </c>
      <c r="AQ5" t="s">
        <v>42</v>
      </c>
      <c r="AR5" t="s">
        <v>63</v>
      </c>
      <c r="AS5" t="s">
        <v>29</v>
      </c>
      <c r="AT5" t="s">
        <v>14</v>
      </c>
      <c r="AU5" t="s">
        <v>5</v>
      </c>
      <c r="AV5" t="s">
        <v>63</v>
      </c>
      <c r="AW5" t="s">
        <v>2</v>
      </c>
      <c r="AX5" t="s">
        <v>37</v>
      </c>
      <c r="AY5" t="s">
        <v>18</v>
      </c>
      <c r="AZ5" t="s">
        <v>47</v>
      </c>
      <c r="BA5" t="s">
        <v>42</v>
      </c>
      <c r="BB5" t="s">
        <v>5</v>
      </c>
      <c r="BC5" t="s">
        <v>62</v>
      </c>
      <c r="BD5" t="s">
        <v>4</v>
      </c>
      <c r="BE5" t="s">
        <v>47</v>
      </c>
      <c r="BF5" t="s">
        <v>44</v>
      </c>
      <c r="BG5" t="s">
        <v>42</v>
      </c>
      <c r="BH5" t="s">
        <v>62</v>
      </c>
      <c r="BI5" t="s">
        <v>47</v>
      </c>
      <c r="BJ5" t="s">
        <v>58</v>
      </c>
      <c r="BK5" t="s">
        <v>12</v>
      </c>
      <c r="BL5" t="s">
        <v>42</v>
      </c>
      <c r="BM5" t="s">
        <v>27</v>
      </c>
      <c r="BN5" t="s">
        <v>12</v>
      </c>
      <c r="BO5" t="s">
        <v>4</v>
      </c>
      <c r="BP5" t="s">
        <v>29</v>
      </c>
      <c r="BQ5" t="s">
        <v>58</v>
      </c>
      <c r="BR5" t="s">
        <v>14</v>
      </c>
      <c r="BS5" t="s">
        <v>63</v>
      </c>
      <c r="BT5" t="s">
        <v>39</v>
      </c>
      <c r="BU5" t="s">
        <v>63</v>
      </c>
      <c r="BV5" t="s">
        <v>27</v>
      </c>
      <c r="BW5" t="s">
        <v>65</v>
      </c>
      <c r="BX5" t="s">
        <v>33</v>
      </c>
      <c r="BY5" t="s">
        <v>5</v>
      </c>
      <c r="BZ5" t="s">
        <v>65</v>
      </c>
      <c r="CA5" t="s">
        <v>21</v>
      </c>
      <c r="CB5" t="s">
        <v>11</v>
      </c>
      <c r="CC5" t="s">
        <v>42</v>
      </c>
      <c r="CD5" t="s">
        <v>14</v>
      </c>
      <c r="CE5" t="s">
        <v>21</v>
      </c>
      <c r="CF5" t="s">
        <v>31</v>
      </c>
      <c r="CG5" t="s">
        <v>30</v>
      </c>
      <c r="CH5" t="s">
        <v>12</v>
      </c>
      <c r="CI5" t="s">
        <v>42</v>
      </c>
      <c r="CJ5" t="s">
        <v>30</v>
      </c>
      <c r="CK5" t="s">
        <v>14</v>
      </c>
      <c r="CL5" t="s">
        <v>31</v>
      </c>
      <c r="CM5" t="s">
        <v>21</v>
      </c>
      <c r="CN5" t="s">
        <v>62</v>
      </c>
      <c r="CO5" t="s">
        <v>33</v>
      </c>
      <c r="CP5" t="s">
        <v>58</v>
      </c>
      <c r="CQ5" t="s">
        <v>11</v>
      </c>
      <c r="CR5" t="s">
        <v>27</v>
      </c>
      <c r="CS5" t="s">
        <v>29</v>
      </c>
      <c r="CT5" t="s">
        <v>21</v>
      </c>
      <c r="CU5" t="s">
        <v>4</v>
      </c>
      <c r="CV5" t="s">
        <v>29</v>
      </c>
      <c r="CW5" t="s">
        <v>18</v>
      </c>
      <c r="CX5" t="s">
        <v>21</v>
      </c>
      <c r="CY5" t="s">
        <v>2</v>
      </c>
      <c r="CZ5" t="s">
        <v>21</v>
      </c>
      <c r="DA5" t="s">
        <v>21</v>
      </c>
      <c r="DB5" t="s">
        <v>12</v>
      </c>
      <c r="DC5" t="s">
        <v>2</v>
      </c>
      <c r="DD5" t="s">
        <v>11</v>
      </c>
      <c r="DE5" t="s">
        <v>18</v>
      </c>
      <c r="DF5" t="s">
        <v>12</v>
      </c>
      <c r="DG5" t="s">
        <v>14</v>
      </c>
      <c r="DH5" t="s">
        <v>31</v>
      </c>
      <c r="DI5" t="s">
        <v>21</v>
      </c>
      <c r="DJ5" t="s">
        <v>13</v>
      </c>
      <c r="DK5" t="s">
        <v>12</v>
      </c>
      <c r="DL5" t="s">
        <v>21</v>
      </c>
      <c r="DM5" t="s">
        <v>31</v>
      </c>
    </row>
    <row r="6" spans="1:117" ht="15" customHeight="1" x14ac:dyDescent="0.25">
      <c r="A6" t="s">
        <v>24</v>
      </c>
      <c r="B6" t="s">
        <v>26</v>
      </c>
      <c r="C6" t="s">
        <v>23</v>
      </c>
      <c r="D6" t="s">
        <v>9</v>
      </c>
      <c r="E6" t="s">
        <v>60</v>
      </c>
      <c r="F6" t="s">
        <v>20</v>
      </c>
      <c r="G6" t="s">
        <v>38</v>
      </c>
      <c r="H6" t="s">
        <v>17</v>
      </c>
      <c r="I6" t="s">
        <v>32</v>
      </c>
      <c r="J6" t="s">
        <v>38</v>
      </c>
      <c r="K6" t="s">
        <v>35</v>
      </c>
      <c r="L6" t="s">
        <v>19</v>
      </c>
      <c r="M6" t="s">
        <v>53</v>
      </c>
      <c r="N6" t="s">
        <v>7</v>
      </c>
      <c r="O6" t="s">
        <v>35</v>
      </c>
      <c r="P6" t="s">
        <v>9</v>
      </c>
      <c r="Q6" t="s">
        <v>7</v>
      </c>
      <c r="R6" t="s">
        <v>51</v>
      </c>
      <c r="S6" t="s">
        <v>28</v>
      </c>
      <c r="T6" t="s">
        <v>38</v>
      </c>
      <c r="U6" t="s">
        <v>23</v>
      </c>
      <c r="V6" t="s">
        <v>16</v>
      </c>
      <c r="W6" t="s">
        <v>7</v>
      </c>
      <c r="X6" t="s">
        <v>34</v>
      </c>
      <c r="Y6" t="s">
        <v>35</v>
      </c>
      <c r="Z6" t="s">
        <v>31</v>
      </c>
      <c r="AA6" t="s">
        <v>38</v>
      </c>
      <c r="AB6" t="s">
        <v>15</v>
      </c>
      <c r="AC6" t="s">
        <v>8</v>
      </c>
      <c r="AD6" t="s">
        <v>17</v>
      </c>
      <c r="AE6" t="s">
        <v>7</v>
      </c>
      <c r="AF6" t="s">
        <v>9</v>
      </c>
      <c r="AG6" t="s">
        <v>19</v>
      </c>
      <c r="AH6" t="s">
        <v>28</v>
      </c>
      <c r="AI6" t="s">
        <v>24</v>
      </c>
      <c r="AJ6" t="s">
        <v>68</v>
      </c>
      <c r="AK6" t="s">
        <v>38</v>
      </c>
      <c r="AL6" t="s">
        <v>49</v>
      </c>
      <c r="AM6" t="s">
        <v>8</v>
      </c>
      <c r="AN6" t="s">
        <v>32</v>
      </c>
      <c r="AO6" t="s">
        <v>40</v>
      </c>
      <c r="AP6" t="s">
        <v>56</v>
      </c>
      <c r="AQ6" t="s">
        <v>17</v>
      </c>
      <c r="AR6" t="s">
        <v>28</v>
      </c>
      <c r="AS6" t="s">
        <v>45</v>
      </c>
      <c r="AT6" t="s">
        <v>15</v>
      </c>
      <c r="AU6" t="s">
        <v>31</v>
      </c>
      <c r="AV6" t="s">
        <v>7</v>
      </c>
      <c r="AW6" t="s">
        <v>8</v>
      </c>
      <c r="AX6" t="s">
        <v>26</v>
      </c>
      <c r="AY6" t="s">
        <v>15</v>
      </c>
      <c r="AZ6" t="s">
        <v>26</v>
      </c>
      <c r="BA6" t="s">
        <v>31</v>
      </c>
      <c r="BB6" t="s">
        <v>7</v>
      </c>
      <c r="BC6" t="s">
        <v>43</v>
      </c>
      <c r="BD6" t="s">
        <v>16</v>
      </c>
      <c r="BE6" t="s">
        <v>51</v>
      </c>
      <c r="BF6" t="s">
        <v>34</v>
      </c>
      <c r="BG6" t="s">
        <v>31</v>
      </c>
      <c r="BH6" t="s">
        <v>43</v>
      </c>
      <c r="BI6" t="s">
        <v>15</v>
      </c>
      <c r="BJ6" t="s">
        <v>51</v>
      </c>
      <c r="BK6" t="s">
        <v>26</v>
      </c>
      <c r="BL6" t="s">
        <v>34</v>
      </c>
      <c r="BM6" t="s">
        <v>34</v>
      </c>
      <c r="BN6" t="s">
        <v>26</v>
      </c>
      <c r="BO6" t="s">
        <v>32</v>
      </c>
      <c r="BP6" t="s">
        <v>56</v>
      </c>
      <c r="BQ6" t="s">
        <v>24</v>
      </c>
      <c r="BR6" t="s">
        <v>15</v>
      </c>
      <c r="BS6" t="s">
        <v>17</v>
      </c>
      <c r="BT6" t="s">
        <v>40</v>
      </c>
      <c r="BU6" t="s">
        <v>35</v>
      </c>
      <c r="BV6" t="s">
        <v>35</v>
      </c>
      <c r="BW6" t="s">
        <v>19</v>
      </c>
      <c r="BX6" t="s">
        <v>23</v>
      </c>
      <c r="BY6" t="s">
        <v>7</v>
      </c>
      <c r="BZ6" t="s">
        <v>34</v>
      </c>
      <c r="CA6" t="s">
        <v>18</v>
      </c>
      <c r="CB6" t="s">
        <v>16</v>
      </c>
      <c r="CC6" t="s">
        <v>68</v>
      </c>
      <c r="CD6" t="s">
        <v>18</v>
      </c>
      <c r="CE6" t="s">
        <v>18</v>
      </c>
      <c r="CF6" t="s">
        <v>16</v>
      </c>
      <c r="CG6" t="s">
        <v>28</v>
      </c>
      <c r="CH6" t="s">
        <v>26</v>
      </c>
      <c r="CI6" t="s">
        <v>7</v>
      </c>
      <c r="CJ6" t="s">
        <v>34</v>
      </c>
      <c r="CK6" t="s">
        <v>55</v>
      </c>
      <c r="CL6" t="s">
        <v>34</v>
      </c>
      <c r="CM6" t="s">
        <v>18</v>
      </c>
      <c r="CN6" t="s">
        <v>41</v>
      </c>
      <c r="CO6" t="s">
        <v>20</v>
      </c>
      <c r="CP6" t="s">
        <v>16</v>
      </c>
      <c r="CQ6" t="s">
        <v>60</v>
      </c>
      <c r="CR6" t="s">
        <v>35</v>
      </c>
      <c r="CS6" t="s">
        <v>7</v>
      </c>
      <c r="CT6" t="s">
        <v>18</v>
      </c>
      <c r="CU6" t="s">
        <v>49</v>
      </c>
      <c r="CV6" t="s">
        <v>45</v>
      </c>
      <c r="CW6" t="s">
        <v>8</v>
      </c>
      <c r="CX6" t="s">
        <v>7</v>
      </c>
      <c r="CY6" t="s">
        <v>6</v>
      </c>
      <c r="CZ6" t="s">
        <v>15</v>
      </c>
      <c r="DA6" t="s">
        <v>20</v>
      </c>
      <c r="DB6" t="s">
        <v>19</v>
      </c>
      <c r="DC6" t="s">
        <v>16</v>
      </c>
      <c r="DD6" t="s">
        <v>8</v>
      </c>
      <c r="DE6" t="s">
        <v>20</v>
      </c>
      <c r="DF6" t="s">
        <v>16</v>
      </c>
      <c r="DG6" t="s">
        <v>23</v>
      </c>
      <c r="DH6" t="s">
        <v>15</v>
      </c>
      <c r="DI6" t="s">
        <v>15</v>
      </c>
      <c r="DJ6" t="s">
        <v>8</v>
      </c>
      <c r="DK6" t="s">
        <v>16</v>
      </c>
      <c r="DL6" t="s">
        <v>8</v>
      </c>
      <c r="DM6" t="s">
        <v>20</v>
      </c>
    </row>
    <row r="7" spans="1:117" ht="15" customHeight="1" x14ac:dyDescent="0.25">
      <c r="A7" t="s">
        <v>26</v>
      </c>
      <c r="B7" t="s">
        <v>52</v>
      </c>
      <c r="C7" t="s">
        <v>25</v>
      </c>
      <c r="D7" t="s">
        <v>10</v>
      </c>
      <c r="E7" t="s">
        <v>61</v>
      </c>
      <c r="F7" t="s">
        <v>56</v>
      </c>
      <c r="G7" t="s">
        <v>49</v>
      </c>
      <c r="H7" t="s">
        <v>41</v>
      </c>
      <c r="I7" t="s">
        <v>64</v>
      </c>
      <c r="J7" t="s">
        <v>6</v>
      </c>
      <c r="K7" t="s">
        <v>6</v>
      </c>
      <c r="L7" t="s">
        <v>40</v>
      </c>
      <c r="M7" t="s">
        <v>48</v>
      </c>
      <c r="N7" t="s">
        <v>6</v>
      </c>
      <c r="O7" t="s">
        <v>45</v>
      </c>
      <c r="P7" t="s">
        <v>20</v>
      </c>
      <c r="Q7" t="s">
        <v>31</v>
      </c>
      <c r="R7" t="s">
        <v>41</v>
      </c>
      <c r="S7" t="s">
        <v>10</v>
      </c>
      <c r="T7" t="s">
        <v>51</v>
      </c>
      <c r="U7" t="s">
        <v>25</v>
      </c>
      <c r="V7" t="s">
        <v>48</v>
      </c>
      <c r="W7" t="s">
        <v>9</v>
      </c>
      <c r="X7" t="s">
        <v>19</v>
      </c>
      <c r="Y7" t="s">
        <v>10</v>
      </c>
      <c r="Z7" t="s">
        <v>20</v>
      </c>
      <c r="AA7" t="s">
        <v>60</v>
      </c>
      <c r="AB7" t="s">
        <v>41</v>
      </c>
      <c r="AC7" t="s">
        <v>7</v>
      </c>
      <c r="AD7" t="s">
        <v>22</v>
      </c>
      <c r="AE7" t="s">
        <v>6</v>
      </c>
      <c r="AF7" t="s">
        <v>19</v>
      </c>
      <c r="AG7" t="s">
        <v>32</v>
      </c>
      <c r="AH7" t="s">
        <v>45</v>
      </c>
      <c r="AI7" t="s">
        <v>25</v>
      </c>
      <c r="AJ7" t="s">
        <v>43</v>
      </c>
      <c r="AK7" t="s">
        <v>68</v>
      </c>
      <c r="AL7" t="s">
        <v>64</v>
      </c>
      <c r="AM7" t="s">
        <v>7</v>
      </c>
      <c r="AN7" t="s">
        <v>45</v>
      </c>
      <c r="AO7" t="s">
        <v>32</v>
      </c>
      <c r="AP7" t="s">
        <v>6</v>
      </c>
      <c r="AQ7" t="s">
        <v>35</v>
      </c>
      <c r="AR7" t="s">
        <v>56</v>
      </c>
      <c r="AS7" t="s">
        <v>10</v>
      </c>
      <c r="AT7" t="s">
        <v>43</v>
      </c>
      <c r="AU7" t="s">
        <v>56</v>
      </c>
      <c r="AV7" t="s">
        <v>9</v>
      </c>
      <c r="AW7" t="s">
        <v>6</v>
      </c>
      <c r="AX7" t="s">
        <v>51</v>
      </c>
      <c r="AY7" t="s">
        <v>64</v>
      </c>
      <c r="AZ7" t="s">
        <v>48</v>
      </c>
      <c r="BA7" t="s">
        <v>32</v>
      </c>
      <c r="BB7" t="s">
        <v>9</v>
      </c>
      <c r="BC7" t="s">
        <v>41</v>
      </c>
      <c r="BD7" t="s">
        <v>9</v>
      </c>
      <c r="BE7" t="s">
        <v>48</v>
      </c>
      <c r="BF7" t="s">
        <v>19</v>
      </c>
      <c r="BG7" t="s">
        <v>56</v>
      </c>
      <c r="BH7" t="s">
        <v>41</v>
      </c>
      <c r="BI7" t="s">
        <v>22</v>
      </c>
      <c r="BJ7" t="s">
        <v>67</v>
      </c>
      <c r="BK7" t="s">
        <v>51</v>
      </c>
      <c r="BL7" t="s">
        <v>20</v>
      </c>
      <c r="BM7" t="s">
        <v>45</v>
      </c>
      <c r="BN7" t="s">
        <v>64</v>
      </c>
      <c r="BO7" t="s">
        <v>69</v>
      </c>
      <c r="BP7" t="s">
        <v>41</v>
      </c>
      <c r="BQ7" t="s">
        <v>16</v>
      </c>
      <c r="BR7" t="s">
        <v>64</v>
      </c>
      <c r="BS7" t="s">
        <v>72</v>
      </c>
      <c r="BT7" t="s">
        <v>6</v>
      </c>
      <c r="BU7" t="s">
        <v>32</v>
      </c>
      <c r="BV7" t="s">
        <v>45</v>
      </c>
      <c r="BW7" t="s">
        <v>56</v>
      </c>
      <c r="BX7" t="s">
        <v>49</v>
      </c>
      <c r="BY7" t="s">
        <v>35</v>
      </c>
      <c r="BZ7" t="s">
        <v>64</v>
      </c>
      <c r="CA7" t="s">
        <v>64</v>
      </c>
      <c r="CB7" t="s">
        <v>23</v>
      </c>
      <c r="CC7" t="s">
        <v>64</v>
      </c>
      <c r="CD7" t="s">
        <v>64</v>
      </c>
      <c r="CE7" t="s">
        <v>64</v>
      </c>
      <c r="CF7" t="s">
        <v>41</v>
      </c>
      <c r="CG7" t="s">
        <v>10</v>
      </c>
      <c r="CH7" t="s">
        <v>60</v>
      </c>
      <c r="CI7" t="s">
        <v>45</v>
      </c>
      <c r="CJ7" t="s">
        <v>10</v>
      </c>
      <c r="CK7" t="s">
        <v>41</v>
      </c>
      <c r="CL7" t="s">
        <v>19</v>
      </c>
      <c r="CM7" t="s">
        <v>43</v>
      </c>
      <c r="CN7" t="s">
        <v>64</v>
      </c>
      <c r="CO7" t="s">
        <v>40</v>
      </c>
      <c r="CP7" t="s">
        <v>49</v>
      </c>
      <c r="CQ7" t="s">
        <v>41</v>
      </c>
      <c r="CR7" t="s">
        <v>22</v>
      </c>
      <c r="CS7" t="s">
        <v>56</v>
      </c>
      <c r="CT7" t="s">
        <v>41</v>
      </c>
      <c r="CU7" t="s">
        <v>25</v>
      </c>
      <c r="CV7" t="s">
        <v>10</v>
      </c>
      <c r="CW7" t="s">
        <v>7</v>
      </c>
      <c r="CX7" t="s">
        <v>16</v>
      </c>
      <c r="CY7" t="s">
        <v>10</v>
      </c>
      <c r="CZ7" t="s">
        <v>10</v>
      </c>
      <c r="DA7" t="s">
        <v>6</v>
      </c>
      <c r="DB7" t="s">
        <v>45</v>
      </c>
      <c r="DC7" t="s">
        <v>6</v>
      </c>
      <c r="DD7" t="s">
        <v>23</v>
      </c>
      <c r="DE7" t="s">
        <v>22</v>
      </c>
      <c r="DF7" t="s">
        <v>10</v>
      </c>
      <c r="DG7" t="s">
        <v>20</v>
      </c>
      <c r="DH7" t="s">
        <v>10</v>
      </c>
      <c r="DI7" t="s">
        <v>10</v>
      </c>
      <c r="DJ7" t="s">
        <v>22</v>
      </c>
      <c r="DK7" t="s">
        <v>20</v>
      </c>
      <c r="DL7" t="s">
        <v>16</v>
      </c>
      <c r="DM7" t="s">
        <v>10</v>
      </c>
    </row>
    <row r="8" spans="1:117" ht="15" customHeight="1" x14ac:dyDescent="0.25">
      <c r="A8" t="s">
        <v>3</v>
      </c>
      <c r="B8" t="s">
        <v>12</v>
      </c>
      <c r="C8" t="s">
        <v>3</v>
      </c>
      <c r="D8" t="s">
        <v>1</v>
      </c>
      <c r="E8" t="s">
        <v>33</v>
      </c>
      <c r="G8" t="s">
        <v>1</v>
      </c>
      <c r="H8" t="s">
        <v>46</v>
      </c>
      <c r="I8" t="s">
        <v>5</v>
      </c>
      <c r="K8" t="s">
        <v>14</v>
      </c>
      <c r="O8" t="s">
        <v>14</v>
      </c>
      <c r="Q8" t="s">
        <v>39</v>
      </c>
      <c r="S8" t="s">
        <v>62</v>
      </c>
      <c r="U8" t="s">
        <v>0</v>
      </c>
      <c r="V8" t="s">
        <v>13</v>
      </c>
      <c r="X8" t="s">
        <v>18</v>
      </c>
      <c r="Z8" t="s">
        <v>12</v>
      </c>
      <c r="AC8" t="s">
        <v>44</v>
      </c>
      <c r="AE8" t="s">
        <v>5</v>
      </c>
      <c r="AF8" t="s">
        <v>50</v>
      </c>
      <c r="AG8" t="s">
        <v>29</v>
      </c>
      <c r="AH8" t="s">
        <v>31</v>
      </c>
      <c r="AI8" t="s">
        <v>39</v>
      </c>
      <c r="AJ8" t="s">
        <v>31</v>
      </c>
      <c r="AK8" t="s">
        <v>39</v>
      </c>
      <c r="AM8" t="s">
        <v>33</v>
      </c>
      <c r="AO8" t="s">
        <v>37</v>
      </c>
      <c r="AP8" t="s">
        <v>33</v>
      </c>
      <c r="AQ8" t="s">
        <v>46</v>
      </c>
      <c r="AR8" t="s">
        <v>36</v>
      </c>
      <c r="AS8" t="s">
        <v>3</v>
      </c>
      <c r="AU8" t="s">
        <v>29</v>
      </c>
      <c r="AV8" t="s">
        <v>65</v>
      </c>
      <c r="AZ8" t="s">
        <v>46</v>
      </c>
      <c r="BA8" t="s">
        <v>21</v>
      </c>
      <c r="BB8" t="s">
        <v>12</v>
      </c>
      <c r="BC8" t="s">
        <v>37</v>
      </c>
      <c r="BG8" t="s">
        <v>3</v>
      </c>
      <c r="BH8" t="s">
        <v>29</v>
      </c>
      <c r="BI8" t="s">
        <v>50</v>
      </c>
      <c r="BM8" t="s">
        <v>62</v>
      </c>
      <c r="BO8" t="s">
        <v>18</v>
      </c>
      <c r="BP8" t="s">
        <v>50</v>
      </c>
      <c r="BS8" t="s">
        <v>57</v>
      </c>
      <c r="BU8" t="s">
        <v>13</v>
      </c>
      <c r="BW8" t="s">
        <v>31</v>
      </c>
      <c r="BX8" t="s">
        <v>14</v>
      </c>
      <c r="BY8" t="s">
        <v>31</v>
      </c>
      <c r="CF8" t="s">
        <v>39</v>
      </c>
      <c r="CH8" t="s">
        <v>3</v>
      </c>
      <c r="CI8" t="s">
        <v>14</v>
      </c>
      <c r="CJ8" t="s">
        <v>18</v>
      </c>
      <c r="CK8" t="s">
        <v>12</v>
      </c>
      <c r="CM8" t="s">
        <v>50</v>
      </c>
      <c r="CO8" t="s">
        <v>31</v>
      </c>
      <c r="CQ8" t="s">
        <v>14</v>
      </c>
      <c r="CS8" t="s">
        <v>13</v>
      </c>
      <c r="CT8" t="s">
        <v>31</v>
      </c>
      <c r="CU8" t="s">
        <v>18</v>
      </c>
      <c r="CV8" t="s">
        <v>11</v>
      </c>
      <c r="CW8" t="s">
        <v>11</v>
      </c>
      <c r="CY8" t="s">
        <v>3</v>
      </c>
      <c r="CZ8" t="s">
        <v>31</v>
      </c>
      <c r="DA8" t="s">
        <v>13</v>
      </c>
      <c r="DB8" t="s">
        <v>3</v>
      </c>
      <c r="DC8" t="s">
        <v>11</v>
      </c>
      <c r="DE8" t="s">
        <v>2</v>
      </c>
      <c r="DF8" t="s">
        <v>3</v>
      </c>
      <c r="DG8" t="s">
        <v>12</v>
      </c>
      <c r="DH8" t="s">
        <v>3</v>
      </c>
    </row>
    <row r="9" spans="1:117" ht="15" customHeight="1" x14ac:dyDescent="0.25">
      <c r="A9" t="s">
        <v>2</v>
      </c>
      <c r="B9" t="s">
        <v>21</v>
      </c>
      <c r="C9" t="s">
        <v>44</v>
      </c>
      <c r="D9" t="s">
        <v>2</v>
      </c>
      <c r="E9" t="s">
        <v>4</v>
      </c>
      <c r="G9" t="s">
        <v>2</v>
      </c>
      <c r="H9" t="s">
        <v>59</v>
      </c>
      <c r="I9" t="s">
        <v>4</v>
      </c>
      <c r="K9" t="s">
        <v>21</v>
      </c>
      <c r="O9" t="s">
        <v>21</v>
      </c>
      <c r="Q9" t="s">
        <v>65</v>
      </c>
      <c r="S9" t="s">
        <v>63</v>
      </c>
      <c r="U9" t="s">
        <v>5</v>
      </c>
      <c r="V9" t="s">
        <v>31</v>
      </c>
      <c r="X9" t="s">
        <v>21</v>
      </c>
      <c r="Z9" t="s">
        <v>58</v>
      </c>
      <c r="AC9" t="s">
        <v>42</v>
      </c>
      <c r="AE9" t="s">
        <v>62</v>
      </c>
      <c r="AF9" t="s">
        <v>59</v>
      </c>
      <c r="AG9" t="s">
        <v>62</v>
      </c>
      <c r="AH9" t="s">
        <v>36</v>
      </c>
      <c r="AI9" t="s">
        <v>44</v>
      </c>
      <c r="AJ9" t="s">
        <v>65</v>
      </c>
      <c r="AK9" t="s">
        <v>33</v>
      </c>
      <c r="AM9" t="s">
        <v>42</v>
      </c>
      <c r="AO9" t="s">
        <v>59</v>
      </c>
      <c r="AP9" t="s">
        <v>2</v>
      </c>
      <c r="AQ9" t="s">
        <v>12</v>
      </c>
      <c r="AR9" t="s">
        <v>21</v>
      </c>
      <c r="AS9" t="s">
        <v>50</v>
      </c>
      <c r="AU9" t="s">
        <v>30</v>
      </c>
      <c r="AV9" t="s">
        <v>27</v>
      </c>
      <c r="AZ9" t="s">
        <v>37</v>
      </c>
      <c r="BA9" t="s">
        <v>62</v>
      </c>
      <c r="BB9" t="s">
        <v>47</v>
      </c>
      <c r="BC9" t="s">
        <v>59</v>
      </c>
      <c r="BG9" t="s">
        <v>54</v>
      </c>
      <c r="BH9" t="s">
        <v>2</v>
      </c>
      <c r="BI9" t="s">
        <v>12</v>
      </c>
      <c r="BM9" t="s">
        <v>63</v>
      </c>
      <c r="BO9" t="s">
        <v>65</v>
      </c>
      <c r="BP9" t="s">
        <v>58</v>
      </c>
      <c r="BS9" t="s">
        <v>44</v>
      </c>
      <c r="BU9" t="s">
        <v>65</v>
      </c>
      <c r="BW9" t="s">
        <v>14</v>
      </c>
      <c r="BX9" t="s">
        <v>37</v>
      </c>
      <c r="BY9" t="s">
        <v>47</v>
      </c>
      <c r="CF9" t="s">
        <v>14</v>
      </c>
      <c r="CH9" t="s">
        <v>44</v>
      </c>
      <c r="CI9" t="s">
        <v>62</v>
      </c>
      <c r="CJ9" t="s">
        <v>21</v>
      </c>
      <c r="CK9" t="s">
        <v>59</v>
      </c>
      <c r="CM9" t="s">
        <v>58</v>
      </c>
      <c r="CO9" t="s">
        <v>36</v>
      </c>
      <c r="CQ9" t="s">
        <v>21</v>
      </c>
      <c r="CS9" t="s">
        <v>31</v>
      </c>
      <c r="CT9" t="s">
        <v>18</v>
      </c>
      <c r="CU9" t="s">
        <v>36</v>
      </c>
      <c r="CV9" t="s">
        <v>2</v>
      </c>
      <c r="CW9" t="s">
        <v>2</v>
      </c>
      <c r="CY9" t="s">
        <v>12</v>
      </c>
      <c r="CZ9" t="s">
        <v>12</v>
      </c>
      <c r="DA9" t="s">
        <v>14</v>
      </c>
      <c r="DB9" t="s">
        <v>31</v>
      </c>
      <c r="DC9" t="s">
        <v>14</v>
      </c>
      <c r="DE9" t="s">
        <v>14</v>
      </c>
      <c r="DF9" t="s">
        <v>11</v>
      </c>
      <c r="DG9" t="s">
        <v>21</v>
      </c>
      <c r="DH9" t="s">
        <v>11</v>
      </c>
    </row>
    <row r="10" spans="1:117" ht="15" customHeight="1" x14ac:dyDescent="0.25">
      <c r="A10" t="s">
        <v>40</v>
      </c>
      <c r="B10" t="s">
        <v>53</v>
      </c>
      <c r="C10" t="s">
        <v>56</v>
      </c>
      <c r="D10" t="s">
        <v>8</v>
      </c>
      <c r="E10" t="s">
        <v>7</v>
      </c>
      <c r="G10" t="s">
        <v>23</v>
      </c>
      <c r="H10" t="s">
        <v>53</v>
      </c>
      <c r="I10" t="s">
        <v>8</v>
      </c>
      <c r="K10" t="s">
        <v>15</v>
      </c>
      <c r="O10" t="s">
        <v>17</v>
      </c>
      <c r="Q10" t="s">
        <v>19</v>
      </c>
      <c r="S10" t="s">
        <v>20</v>
      </c>
      <c r="U10" t="s">
        <v>31</v>
      </c>
      <c r="V10" t="s">
        <v>34</v>
      </c>
      <c r="X10" t="s">
        <v>15</v>
      </c>
      <c r="Z10" t="s">
        <v>16</v>
      </c>
      <c r="AC10" t="s">
        <v>56</v>
      </c>
      <c r="AE10" t="s">
        <v>17</v>
      </c>
      <c r="AF10" t="s">
        <v>53</v>
      </c>
      <c r="AG10" t="s">
        <v>17</v>
      </c>
      <c r="AH10" t="s">
        <v>38</v>
      </c>
      <c r="AI10" t="s">
        <v>31</v>
      </c>
      <c r="AJ10" t="s">
        <v>70</v>
      </c>
      <c r="AK10" t="s">
        <v>34</v>
      </c>
      <c r="AM10" t="s">
        <v>31</v>
      </c>
      <c r="AO10" t="s">
        <v>24</v>
      </c>
      <c r="AP10" t="s">
        <v>9</v>
      </c>
      <c r="AQ10" t="s">
        <v>53</v>
      </c>
      <c r="AR10" t="s">
        <v>38</v>
      </c>
      <c r="AS10" t="s">
        <v>7</v>
      </c>
      <c r="AU10" t="s">
        <v>8</v>
      </c>
      <c r="AV10" t="s">
        <v>19</v>
      </c>
      <c r="AZ10" t="s">
        <v>53</v>
      </c>
      <c r="BA10" t="s">
        <v>17</v>
      </c>
      <c r="BB10" t="s">
        <v>55</v>
      </c>
      <c r="BC10" t="s">
        <v>55</v>
      </c>
      <c r="BG10" t="s">
        <v>8</v>
      </c>
      <c r="BH10" t="s">
        <v>15</v>
      </c>
      <c r="BI10" t="s">
        <v>38</v>
      </c>
      <c r="BM10" t="s">
        <v>17</v>
      </c>
      <c r="BO10" t="s">
        <v>18</v>
      </c>
      <c r="BP10" t="s">
        <v>26</v>
      </c>
      <c r="BS10" t="s">
        <v>28</v>
      </c>
      <c r="BU10" t="s">
        <v>19</v>
      </c>
      <c r="BW10" t="s">
        <v>15</v>
      </c>
      <c r="BX10" t="s">
        <v>55</v>
      </c>
      <c r="BY10" t="s">
        <v>60</v>
      </c>
      <c r="CF10" t="s">
        <v>19</v>
      </c>
      <c r="CH10" t="s">
        <v>9</v>
      </c>
      <c r="CI10" t="s">
        <v>18</v>
      </c>
      <c r="CJ10" t="s">
        <v>41</v>
      </c>
      <c r="CK10" t="s">
        <v>15</v>
      </c>
      <c r="CM10" t="s">
        <v>51</v>
      </c>
      <c r="CO10" t="s">
        <v>38</v>
      </c>
      <c r="CQ10" t="s">
        <v>28</v>
      </c>
      <c r="CS10" t="s">
        <v>68</v>
      </c>
      <c r="CT10" t="s">
        <v>68</v>
      </c>
      <c r="CU10" t="s">
        <v>38</v>
      </c>
      <c r="CV10" t="s">
        <v>16</v>
      </c>
      <c r="CW10" t="s">
        <v>48</v>
      </c>
      <c r="CY10" t="s">
        <v>8</v>
      </c>
      <c r="CZ10" t="s">
        <v>17</v>
      </c>
      <c r="DA10" t="s">
        <v>15</v>
      </c>
      <c r="DB10" t="s">
        <v>17</v>
      </c>
      <c r="DC10" t="s">
        <v>15</v>
      </c>
      <c r="DE10" t="s">
        <v>15</v>
      </c>
      <c r="DF10" t="s">
        <v>8</v>
      </c>
      <c r="DG10" t="s">
        <v>15</v>
      </c>
      <c r="DH10" t="s">
        <v>8</v>
      </c>
    </row>
    <row r="11" spans="1:117" ht="15" customHeight="1" x14ac:dyDescent="0.25">
      <c r="A11" t="s">
        <v>41</v>
      </c>
      <c r="B11" t="s">
        <v>15</v>
      </c>
      <c r="C11" t="s">
        <v>6</v>
      </c>
      <c r="D11" t="s">
        <v>6</v>
      </c>
      <c r="E11" t="s">
        <v>31</v>
      </c>
      <c r="G11" t="s">
        <v>6</v>
      </c>
      <c r="H11" t="s">
        <v>49</v>
      </c>
      <c r="I11" t="s">
        <v>9</v>
      </c>
      <c r="K11" t="s">
        <v>43</v>
      </c>
      <c r="O11" t="s">
        <v>52</v>
      </c>
      <c r="Q11" t="s">
        <v>66</v>
      </c>
      <c r="S11" t="s">
        <v>67</v>
      </c>
      <c r="U11" t="s">
        <v>9</v>
      </c>
      <c r="V11" t="s">
        <v>45</v>
      </c>
      <c r="X11" t="s">
        <v>43</v>
      </c>
      <c r="Z11" t="s">
        <v>25</v>
      </c>
      <c r="AC11" t="s">
        <v>64</v>
      </c>
      <c r="AE11" t="s">
        <v>64</v>
      </c>
      <c r="AF11" t="s">
        <v>49</v>
      </c>
      <c r="AG11" t="s">
        <v>64</v>
      </c>
      <c r="AH11" t="s">
        <v>43</v>
      </c>
      <c r="AI11" t="s">
        <v>10</v>
      </c>
      <c r="AJ11" t="s">
        <v>41</v>
      </c>
      <c r="AK11" t="s">
        <v>19</v>
      </c>
      <c r="AM11" t="s">
        <v>67</v>
      </c>
      <c r="AO11" t="s">
        <v>49</v>
      </c>
      <c r="AP11" t="s">
        <v>32</v>
      </c>
      <c r="AQ11" t="s">
        <v>64</v>
      </c>
      <c r="AR11" t="s">
        <v>15</v>
      </c>
      <c r="AS11" t="s">
        <v>16</v>
      </c>
      <c r="AU11" t="s">
        <v>32</v>
      </c>
      <c r="AV11" t="s">
        <v>45</v>
      </c>
      <c r="AZ11" t="s">
        <v>49</v>
      </c>
      <c r="BA11" t="s">
        <v>22</v>
      </c>
      <c r="BB11" t="s">
        <v>51</v>
      </c>
      <c r="BC11" t="s">
        <v>26</v>
      </c>
      <c r="BG11" t="s">
        <v>48</v>
      </c>
      <c r="BH11" t="s">
        <v>17</v>
      </c>
      <c r="BI11" t="s">
        <v>26</v>
      </c>
      <c r="BM11" t="s">
        <v>71</v>
      </c>
      <c r="BO11" t="s">
        <v>19</v>
      </c>
      <c r="BP11" t="s">
        <v>60</v>
      </c>
      <c r="BS11" t="s">
        <v>45</v>
      </c>
      <c r="BU11" t="s">
        <v>45</v>
      </c>
      <c r="BW11" t="s">
        <v>43</v>
      </c>
      <c r="BX11" t="s">
        <v>43</v>
      </c>
      <c r="BY11" t="s">
        <v>41</v>
      </c>
      <c r="CF11" t="s">
        <v>43</v>
      </c>
      <c r="CH11" t="s">
        <v>20</v>
      </c>
      <c r="CI11" t="s">
        <v>43</v>
      </c>
      <c r="CJ11" t="s">
        <v>64</v>
      </c>
      <c r="CK11" t="s">
        <v>43</v>
      </c>
      <c r="CM11" t="s">
        <v>60</v>
      </c>
      <c r="CO11" t="s">
        <v>18</v>
      </c>
      <c r="CQ11" t="s">
        <v>45</v>
      </c>
      <c r="CS11" t="s">
        <v>10</v>
      </c>
      <c r="CT11" t="s">
        <v>64</v>
      </c>
      <c r="CU11" t="s">
        <v>64</v>
      </c>
      <c r="CV11" t="s">
        <v>6</v>
      </c>
      <c r="CW11" t="s">
        <v>6</v>
      </c>
      <c r="CY11" t="s">
        <v>16</v>
      </c>
      <c r="CZ11" t="s">
        <v>22</v>
      </c>
      <c r="DA11" t="s">
        <v>10</v>
      </c>
      <c r="DB11" t="s">
        <v>22</v>
      </c>
      <c r="DC11" t="s">
        <v>48</v>
      </c>
      <c r="DE11" t="s">
        <v>6</v>
      </c>
      <c r="DF11" t="s">
        <v>6</v>
      </c>
      <c r="DG11" t="s">
        <v>22</v>
      </c>
      <c r="DH11" t="s">
        <v>16</v>
      </c>
    </row>
    <row r="12" spans="1:117" ht="15" customHeight="1" x14ac:dyDescent="0.25">
      <c r="A12" t="s">
        <v>14</v>
      </c>
      <c r="B12" t="s">
        <v>54</v>
      </c>
      <c r="C12" t="s">
        <v>29</v>
      </c>
      <c r="D12" t="s">
        <v>11</v>
      </c>
      <c r="E12" t="s">
        <v>50</v>
      </c>
      <c r="G12" t="s">
        <v>39</v>
      </c>
      <c r="H12" t="s">
        <v>13</v>
      </c>
      <c r="I12" t="s">
        <v>18</v>
      </c>
      <c r="K12" t="s">
        <v>46</v>
      </c>
      <c r="O12" t="s">
        <v>47</v>
      </c>
      <c r="Q12" t="s">
        <v>31</v>
      </c>
      <c r="S12" t="s">
        <v>65</v>
      </c>
      <c r="U12" t="s">
        <v>63</v>
      </c>
      <c r="X12" t="s">
        <v>46</v>
      </c>
      <c r="Z12" t="s">
        <v>31</v>
      </c>
      <c r="AC12" t="s">
        <v>31</v>
      </c>
      <c r="AE12" t="s">
        <v>57</v>
      </c>
      <c r="AG12" t="s">
        <v>31</v>
      </c>
      <c r="AI12" t="s">
        <v>18</v>
      </c>
      <c r="AM12" t="s">
        <v>29</v>
      </c>
      <c r="AO12" t="s">
        <v>3</v>
      </c>
      <c r="AP12" t="s">
        <v>13</v>
      </c>
      <c r="AQ12" t="s">
        <v>30</v>
      </c>
      <c r="AS12" t="s">
        <v>46</v>
      </c>
      <c r="AU12" t="s">
        <v>21</v>
      </c>
      <c r="AV12" t="s">
        <v>21</v>
      </c>
      <c r="AZ12" t="s">
        <v>54</v>
      </c>
      <c r="BB12" t="s">
        <v>65</v>
      </c>
      <c r="BH12" t="s">
        <v>46</v>
      </c>
      <c r="BI12" t="s">
        <v>46</v>
      </c>
      <c r="BM12" t="s">
        <v>47</v>
      </c>
      <c r="BO12" t="s">
        <v>54</v>
      </c>
      <c r="BP12" t="s">
        <v>54</v>
      </c>
      <c r="BU12" t="s">
        <v>18</v>
      </c>
      <c r="BW12" t="s">
        <v>46</v>
      </c>
      <c r="BX12" t="s">
        <v>46</v>
      </c>
      <c r="BY12" t="s">
        <v>3</v>
      </c>
      <c r="CF12" t="s">
        <v>47</v>
      </c>
      <c r="CH12" t="s">
        <v>21</v>
      </c>
      <c r="CI12" t="s">
        <v>57</v>
      </c>
      <c r="CJ12" t="s">
        <v>12</v>
      </c>
      <c r="CK12" t="s">
        <v>29</v>
      </c>
      <c r="CO12" t="s">
        <v>44</v>
      </c>
      <c r="CQ12" t="s">
        <v>39</v>
      </c>
      <c r="CS12" t="s">
        <v>36</v>
      </c>
      <c r="CT12" t="s">
        <v>46</v>
      </c>
      <c r="CU12" t="s">
        <v>31</v>
      </c>
      <c r="CV12" t="s">
        <v>31</v>
      </c>
      <c r="CW12" t="s">
        <v>31</v>
      </c>
      <c r="CY12" t="s">
        <v>18</v>
      </c>
      <c r="CZ12" t="s">
        <v>2</v>
      </c>
      <c r="DA12" t="s">
        <v>3</v>
      </c>
      <c r="DB12" t="s">
        <v>14</v>
      </c>
      <c r="DC12" t="s">
        <v>31</v>
      </c>
    </row>
    <row r="13" spans="1:117" ht="15" customHeight="1" x14ac:dyDescent="0.25">
      <c r="A13" t="s">
        <v>42</v>
      </c>
      <c r="B13" t="s">
        <v>50</v>
      </c>
      <c r="C13" t="s">
        <v>42</v>
      </c>
      <c r="D13" t="s">
        <v>58</v>
      </c>
      <c r="E13" t="s">
        <v>12</v>
      </c>
      <c r="G13" t="s">
        <v>57</v>
      </c>
      <c r="H13" t="s">
        <v>27</v>
      </c>
      <c r="I13" t="s">
        <v>47</v>
      </c>
      <c r="K13" t="s">
        <v>12</v>
      </c>
      <c r="O13" t="s">
        <v>59</v>
      </c>
      <c r="Q13" t="s">
        <v>14</v>
      </c>
      <c r="S13" t="s">
        <v>12</v>
      </c>
      <c r="U13" t="s">
        <v>42</v>
      </c>
      <c r="X13" t="s">
        <v>54</v>
      </c>
      <c r="Z13" t="s">
        <v>11</v>
      </c>
      <c r="AC13" t="s">
        <v>18</v>
      </c>
      <c r="AE13" t="s">
        <v>30</v>
      </c>
      <c r="AG13" t="s">
        <v>12</v>
      </c>
      <c r="AI13" t="s">
        <v>36</v>
      </c>
      <c r="AM13" t="s">
        <v>62</v>
      </c>
      <c r="AO13" t="s">
        <v>27</v>
      </c>
      <c r="AP13" t="s">
        <v>62</v>
      </c>
      <c r="AQ13" t="s">
        <v>14</v>
      </c>
      <c r="AS13" t="s">
        <v>47</v>
      </c>
      <c r="AU13" t="s">
        <v>42</v>
      </c>
      <c r="AV13" t="s">
        <v>59</v>
      </c>
      <c r="AZ13" t="s">
        <v>11</v>
      </c>
      <c r="BB13" t="s">
        <v>27</v>
      </c>
      <c r="BH13" t="s">
        <v>58</v>
      </c>
      <c r="BI13" t="s">
        <v>37</v>
      </c>
      <c r="BM13" t="s">
        <v>58</v>
      </c>
      <c r="BO13" t="s">
        <v>31</v>
      </c>
      <c r="BP13" t="s">
        <v>37</v>
      </c>
      <c r="BU13" t="s">
        <v>21</v>
      </c>
      <c r="BW13" t="s">
        <v>11</v>
      </c>
      <c r="BX13" t="s">
        <v>59</v>
      </c>
      <c r="BY13" t="s">
        <v>2</v>
      </c>
      <c r="CF13" t="s">
        <v>37</v>
      </c>
      <c r="CH13" t="s">
        <v>62</v>
      </c>
      <c r="CI13" t="s">
        <v>2</v>
      </c>
      <c r="CJ13" t="s">
        <v>47</v>
      </c>
      <c r="CK13" t="s">
        <v>4</v>
      </c>
      <c r="CO13" t="s">
        <v>30</v>
      </c>
      <c r="CQ13" t="s">
        <v>62</v>
      </c>
      <c r="CS13" t="s">
        <v>62</v>
      </c>
      <c r="CT13" t="s">
        <v>0</v>
      </c>
      <c r="CU13" t="s">
        <v>29</v>
      </c>
      <c r="CV13" t="s">
        <v>12</v>
      </c>
      <c r="CW13" t="s">
        <v>12</v>
      </c>
      <c r="CY13" t="s">
        <v>11</v>
      </c>
      <c r="CZ13" t="s">
        <v>14</v>
      </c>
      <c r="DA13" t="s">
        <v>12</v>
      </c>
      <c r="DB13" t="s">
        <v>21</v>
      </c>
      <c r="DC13" t="s">
        <v>18</v>
      </c>
    </row>
    <row r="14" spans="1:117" ht="15" customHeight="1" x14ac:dyDescent="0.25">
      <c r="A14" t="s">
        <v>17</v>
      </c>
      <c r="B14" t="s">
        <v>55</v>
      </c>
      <c r="C14" t="s">
        <v>20</v>
      </c>
      <c r="D14" t="s">
        <v>24</v>
      </c>
      <c r="E14" t="s">
        <v>16</v>
      </c>
      <c r="G14" t="s">
        <v>35</v>
      </c>
      <c r="H14" t="s">
        <v>28</v>
      </c>
      <c r="I14" t="s">
        <v>48</v>
      </c>
      <c r="K14" t="s">
        <v>51</v>
      </c>
      <c r="O14" t="s">
        <v>53</v>
      </c>
      <c r="Q14" t="s">
        <v>15</v>
      </c>
      <c r="S14" t="s">
        <v>55</v>
      </c>
      <c r="U14" t="s">
        <v>17</v>
      </c>
      <c r="X14" t="s">
        <v>55</v>
      </c>
      <c r="Z14" t="s">
        <v>53</v>
      </c>
      <c r="AC14" t="s">
        <v>43</v>
      </c>
      <c r="AE14" t="s">
        <v>35</v>
      </c>
      <c r="AG14" t="s">
        <v>60</v>
      </c>
      <c r="AI14" t="s">
        <v>38</v>
      </c>
      <c r="AM14" t="s">
        <v>17</v>
      </c>
      <c r="AO14" t="s">
        <v>28</v>
      </c>
      <c r="AP14" t="s">
        <v>17</v>
      </c>
      <c r="AQ14" t="s">
        <v>20</v>
      </c>
      <c r="AS14" t="s">
        <v>17</v>
      </c>
      <c r="AU14" t="s">
        <v>15</v>
      </c>
      <c r="AV14" t="s">
        <v>68</v>
      </c>
      <c r="AZ14" t="s">
        <v>16</v>
      </c>
      <c r="BB14" t="s">
        <v>28</v>
      </c>
      <c r="BH14" t="s">
        <v>38</v>
      </c>
      <c r="BI14" t="s">
        <v>55</v>
      </c>
      <c r="BM14" t="s">
        <v>23</v>
      </c>
      <c r="BO14" t="s">
        <v>15</v>
      </c>
      <c r="BP14" t="s">
        <v>55</v>
      </c>
      <c r="BU14" t="s">
        <v>15</v>
      </c>
      <c r="BW14" t="s">
        <v>53</v>
      </c>
      <c r="BX14" t="s">
        <v>26</v>
      </c>
      <c r="BY14" t="s">
        <v>55</v>
      </c>
      <c r="CF14" t="s">
        <v>51</v>
      </c>
      <c r="CH14" t="s">
        <v>15</v>
      </c>
      <c r="CI14" t="s">
        <v>8</v>
      </c>
      <c r="CJ14" t="s">
        <v>16</v>
      </c>
      <c r="CK14" t="s">
        <v>20</v>
      </c>
      <c r="CO14" t="s">
        <v>8</v>
      </c>
      <c r="CQ14" t="s">
        <v>17</v>
      </c>
      <c r="CS14" t="s">
        <v>38</v>
      </c>
      <c r="CT14" t="s">
        <v>8</v>
      </c>
      <c r="CU14" t="s">
        <v>56</v>
      </c>
      <c r="CV14" t="s">
        <v>15</v>
      </c>
      <c r="CW14" t="s">
        <v>26</v>
      </c>
      <c r="CY14" t="s">
        <v>26</v>
      </c>
      <c r="CZ14" t="s">
        <v>20</v>
      </c>
      <c r="DA14" t="s">
        <v>8</v>
      </c>
      <c r="DB14" t="s">
        <v>8</v>
      </c>
      <c r="DC14" t="s">
        <v>17</v>
      </c>
    </row>
    <row r="15" spans="1:117" ht="15" customHeight="1" x14ac:dyDescent="0.25">
      <c r="A15" t="s">
        <v>43</v>
      </c>
      <c r="B15" t="s">
        <v>49</v>
      </c>
      <c r="C15" t="s">
        <v>10</v>
      </c>
      <c r="D15" t="s">
        <v>23</v>
      </c>
      <c r="E15" t="s">
        <v>48</v>
      </c>
      <c r="G15" t="s">
        <v>10</v>
      </c>
      <c r="H15" t="s">
        <v>10</v>
      </c>
      <c r="I15" t="s">
        <v>43</v>
      </c>
      <c r="K15" t="s">
        <v>61</v>
      </c>
      <c r="O15" t="s">
        <v>16</v>
      </c>
      <c r="Q15" t="s">
        <v>17</v>
      </c>
      <c r="S15" t="s">
        <v>34</v>
      </c>
      <c r="U15" t="s">
        <v>32</v>
      </c>
      <c r="X15" t="s">
        <v>48</v>
      </c>
      <c r="Z15" t="s">
        <v>41</v>
      </c>
      <c r="AC15" t="s">
        <v>41</v>
      </c>
      <c r="AE15" t="s">
        <v>10</v>
      </c>
      <c r="AG15" t="s">
        <v>41</v>
      </c>
      <c r="AI15" t="s">
        <v>15</v>
      </c>
      <c r="AM15" t="s">
        <v>20</v>
      </c>
      <c r="AO15" t="s">
        <v>10</v>
      </c>
      <c r="AP15" t="s">
        <v>28</v>
      </c>
      <c r="AQ15" t="s">
        <v>43</v>
      </c>
      <c r="AS15" t="s">
        <v>22</v>
      </c>
      <c r="AU15" t="s">
        <v>69</v>
      </c>
      <c r="AV15" t="s">
        <v>49</v>
      </c>
      <c r="AZ15" t="s">
        <v>60</v>
      </c>
      <c r="BB15" t="s">
        <v>45</v>
      </c>
      <c r="BH15" t="s">
        <v>49</v>
      </c>
      <c r="BI15" t="s">
        <v>48</v>
      </c>
      <c r="BM15" t="s">
        <v>10</v>
      </c>
      <c r="BO15" t="s">
        <v>43</v>
      </c>
      <c r="BP15" t="s">
        <v>49</v>
      </c>
      <c r="BU15" t="s">
        <v>41</v>
      </c>
      <c r="BW15" t="s">
        <v>18</v>
      </c>
      <c r="BX15" t="s">
        <v>51</v>
      </c>
      <c r="BY15" t="s">
        <v>6</v>
      </c>
      <c r="CF15" t="s">
        <v>60</v>
      </c>
      <c r="CH15" t="s">
        <v>22</v>
      </c>
      <c r="CI15" t="s">
        <v>56</v>
      </c>
      <c r="CJ15" t="s">
        <v>49</v>
      </c>
      <c r="CK15" t="s">
        <v>32</v>
      </c>
      <c r="CO15" t="s">
        <v>6</v>
      </c>
      <c r="CQ15" t="s">
        <v>34</v>
      </c>
      <c r="CS15" t="s">
        <v>15</v>
      </c>
      <c r="CT15" t="s">
        <v>26</v>
      </c>
      <c r="CU15" t="s">
        <v>43</v>
      </c>
      <c r="CV15" t="s">
        <v>43</v>
      </c>
      <c r="CW15" t="s">
        <v>15</v>
      </c>
      <c r="CY15" t="s">
        <v>15</v>
      </c>
      <c r="CZ15" t="s">
        <v>6</v>
      </c>
      <c r="DA15" t="s">
        <v>16</v>
      </c>
      <c r="DB15" t="s">
        <v>20</v>
      </c>
      <c r="DC15" t="s">
        <v>22</v>
      </c>
    </row>
    <row r="16" spans="1:117" ht="15" customHeight="1" x14ac:dyDescent="0.25">
      <c r="A16" t="s">
        <v>44</v>
      </c>
      <c r="C16" t="s">
        <v>46</v>
      </c>
      <c r="D16" t="s">
        <v>0</v>
      </c>
      <c r="E16" t="s">
        <v>27</v>
      </c>
      <c r="G16" t="s">
        <v>54</v>
      </c>
      <c r="H16" t="s">
        <v>33</v>
      </c>
      <c r="K16" t="s">
        <v>36</v>
      </c>
      <c r="O16" t="s">
        <v>46</v>
      </c>
      <c r="Q16" t="s">
        <v>54</v>
      </c>
      <c r="S16" t="s">
        <v>50</v>
      </c>
      <c r="U16" t="s">
        <v>13</v>
      </c>
      <c r="X16" t="s">
        <v>12</v>
      </c>
      <c r="Z16" t="s">
        <v>46</v>
      </c>
      <c r="AC16" t="s">
        <v>12</v>
      </c>
      <c r="AE16" t="s">
        <v>3</v>
      </c>
      <c r="AG16" t="s">
        <v>46</v>
      </c>
      <c r="AI16" t="s">
        <v>29</v>
      </c>
      <c r="AM16" t="s">
        <v>31</v>
      </c>
      <c r="AO16" t="s">
        <v>44</v>
      </c>
      <c r="AP16" t="s">
        <v>50</v>
      </c>
      <c r="AQ16" t="s">
        <v>54</v>
      </c>
      <c r="AS16" t="s">
        <v>13</v>
      </c>
      <c r="AU16" t="s">
        <v>57</v>
      </c>
      <c r="AV16" t="s">
        <v>31</v>
      </c>
      <c r="AZ16" t="s">
        <v>36</v>
      </c>
      <c r="BB16" t="s">
        <v>4</v>
      </c>
      <c r="BM16" t="s">
        <v>14</v>
      </c>
      <c r="BO16" t="s">
        <v>5</v>
      </c>
      <c r="BX16" t="s">
        <v>13</v>
      </c>
      <c r="BY16" t="s">
        <v>54</v>
      </c>
      <c r="CF16" t="s">
        <v>46</v>
      </c>
      <c r="CH16" t="s">
        <v>57</v>
      </c>
      <c r="CI16" t="s">
        <v>31</v>
      </c>
      <c r="CJ16" t="s">
        <v>44</v>
      </c>
      <c r="CK16" t="s">
        <v>44</v>
      </c>
      <c r="CO16" t="s">
        <v>27</v>
      </c>
      <c r="CQ16" t="s">
        <v>12</v>
      </c>
      <c r="CS16" t="s">
        <v>44</v>
      </c>
      <c r="CT16" t="s">
        <v>54</v>
      </c>
      <c r="CU16" t="s">
        <v>57</v>
      </c>
      <c r="CV16" t="s">
        <v>3</v>
      </c>
      <c r="CW16" t="s">
        <v>14</v>
      </c>
      <c r="CY16" t="s">
        <v>31</v>
      </c>
      <c r="CZ16" t="s">
        <v>3</v>
      </c>
      <c r="DA16" t="s">
        <v>11</v>
      </c>
    </row>
    <row r="17" spans="1:105" ht="15" customHeight="1" x14ac:dyDescent="0.25">
      <c r="A17" t="s">
        <v>27</v>
      </c>
      <c r="C17" t="s">
        <v>47</v>
      </c>
      <c r="D17" t="s">
        <v>5</v>
      </c>
      <c r="E17" t="s">
        <v>42</v>
      </c>
      <c r="G17" t="s">
        <v>12</v>
      </c>
      <c r="H17" t="s">
        <v>42</v>
      </c>
      <c r="K17" t="s">
        <v>37</v>
      </c>
      <c r="O17" t="s">
        <v>54</v>
      </c>
      <c r="Q17" t="s">
        <v>58</v>
      </c>
      <c r="S17" t="s">
        <v>37</v>
      </c>
      <c r="U17" t="s">
        <v>14</v>
      </c>
      <c r="X17" t="s">
        <v>37</v>
      </c>
      <c r="Z17" t="s">
        <v>21</v>
      </c>
      <c r="AC17" t="s">
        <v>37</v>
      </c>
      <c r="AE17" t="s">
        <v>63</v>
      </c>
      <c r="AG17" t="s">
        <v>47</v>
      </c>
      <c r="AI17" t="s">
        <v>30</v>
      </c>
      <c r="AM17" t="s">
        <v>21</v>
      </c>
      <c r="AO17" t="s">
        <v>62</v>
      </c>
      <c r="AP17" t="s">
        <v>11</v>
      </c>
      <c r="AQ17" t="s">
        <v>0</v>
      </c>
      <c r="AS17" t="s">
        <v>27</v>
      </c>
      <c r="AU17" t="s">
        <v>44</v>
      </c>
      <c r="AV17" t="s">
        <v>36</v>
      </c>
      <c r="AZ17" t="s">
        <v>59</v>
      </c>
      <c r="BB17" t="s">
        <v>2</v>
      </c>
      <c r="BM17" t="s">
        <v>21</v>
      </c>
      <c r="BO17" t="s">
        <v>30</v>
      </c>
      <c r="BX17" t="s">
        <v>63</v>
      </c>
      <c r="BY17" t="s">
        <v>11</v>
      </c>
      <c r="CF17" t="s">
        <v>0</v>
      </c>
      <c r="CH17" t="s">
        <v>63</v>
      </c>
      <c r="CI17" t="s">
        <v>36</v>
      </c>
      <c r="CJ17" t="s">
        <v>29</v>
      </c>
      <c r="CK17" t="s">
        <v>11</v>
      </c>
      <c r="CO17" t="s">
        <v>63</v>
      </c>
      <c r="CQ17" t="s">
        <v>2</v>
      </c>
      <c r="CS17" t="s">
        <v>42</v>
      </c>
      <c r="CT17" t="s">
        <v>47</v>
      </c>
      <c r="CU17" t="s">
        <v>47</v>
      </c>
      <c r="CV17" t="s">
        <v>14</v>
      </c>
      <c r="CW17" t="s">
        <v>21</v>
      </c>
      <c r="CY17" t="s">
        <v>14</v>
      </c>
      <c r="CZ17" t="s">
        <v>11</v>
      </c>
      <c r="DA17" t="s">
        <v>58</v>
      </c>
    </row>
    <row r="18" spans="1:105" ht="15" customHeight="1" x14ac:dyDescent="0.25">
      <c r="A18" t="s">
        <v>20</v>
      </c>
      <c r="C18" t="s">
        <v>53</v>
      </c>
      <c r="D18" t="s">
        <v>51</v>
      </c>
      <c r="E18" t="s">
        <v>28</v>
      </c>
      <c r="G18" t="s">
        <v>26</v>
      </c>
      <c r="H18" t="s">
        <v>31</v>
      </c>
      <c r="K18" t="s">
        <v>38</v>
      </c>
      <c r="O18" t="s">
        <v>26</v>
      </c>
      <c r="Q18" t="s">
        <v>52</v>
      </c>
      <c r="S18" t="s">
        <v>26</v>
      </c>
      <c r="U18" t="s">
        <v>34</v>
      </c>
      <c r="X18" t="s">
        <v>51</v>
      </c>
      <c r="Z18" t="s">
        <v>51</v>
      </c>
      <c r="AC18" t="s">
        <v>55</v>
      </c>
      <c r="AE18" t="s">
        <v>56</v>
      </c>
      <c r="AG18" t="s">
        <v>51</v>
      </c>
      <c r="AI18" t="s">
        <v>64</v>
      </c>
      <c r="AM18" t="s">
        <v>43</v>
      </c>
      <c r="AO18" t="s">
        <v>31</v>
      </c>
      <c r="AP18" t="s">
        <v>51</v>
      </c>
      <c r="AQ18" t="s">
        <v>8</v>
      </c>
      <c r="AS18" t="s">
        <v>56</v>
      </c>
      <c r="AU18" t="s">
        <v>17</v>
      </c>
      <c r="AV18" t="s">
        <v>16</v>
      </c>
      <c r="AZ18" t="s">
        <v>38</v>
      </c>
      <c r="BB18" t="s">
        <v>34</v>
      </c>
      <c r="BM18" t="s">
        <v>18</v>
      </c>
      <c r="BO18" t="s">
        <v>20</v>
      </c>
      <c r="BX18" t="s">
        <v>28</v>
      </c>
      <c r="BY18" t="s">
        <v>24</v>
      </c>
      <c r="CF18" t="s">
        <v>49</v>
      </c>
      <c r="CH18" t="s">
        <v>34</v>
      </c>
      <c r="CI18" t="s">
        <v>38</v>
      </c>
      <c r="CJ18" t="s">
        <v>32</v>
      </c>
      <c r="CK18" t="s">
        <v>51</v>
      </c>
      <c r="CO18" t="s">
        <v>34</v>
      </c>
      <c r="CQ18" t="s">
        <v>7</v>
      </c>
      <c r="CS18" t="s">
        <v>43</v>
      </c>
      <c r="CT18" t="s">
        <v>55</v>
      </c>
      <c r="CU18" t="s">
        <v>24</v>
      </c>
      <c r="CV18" t="s">
        <v>8</v>
      </c>
      <c r="CW18" t="s">
        <v>43</v>
      </c>
      <c r="CY18" t="s">
        <v>17</v>
      </c>
      <c r="CZ18" t="s">
        <v>8</v>
      </c>
      <c r="DA18" t="s">
        <v>26</v>
      </c>
    </row>
    <row r="19" spans="1:105" ht="15" customHeight="1" x14ac:dyDescent="0.25">
      <c r="A19" t="s">
        <v>45</v>
      </c>
      <c r="C19" t="s">
        <v>16</v>
      </c>
      <c r="D19" t="s">
        <v>25</v>
      </c>
      <c r="E19" t="s">
        <v>35</v>
      </c>
      <c r="G19" t="s">
        <v>16</v>
      </c>
      <c r="H19" t="s">
        <v>20</v>
      </c>
      <c r="K19" t="s">
        <v>23</v>
      </c>
      <c r="O19" t="s">
        <v>48</v>
      </c>
      <c r="Q19" t="s">
        <v>41</v>
      </c>
      <c r="S19" t="s">
        <v>16</v>
      </c>
      <c r="U19" t="s">
        <v>45</v>
      </c>
      <c r="X19" t="s">
        <v>49</v>
      </c>
      <c r="Z19" t="s">
        <v>43</v>
      </c>
      <c r="AC19" t="s">
        <v>23</v>
      </c>
      <c r="AE19" t="s">
        <v>66</v>
      </c>
      <c r="AG19" t="s">
        <v>16</v>
      </c>
      <c r="AI19" t="s">
        <v>22</v>
      </c>
      <c r="AM19" t="s">
        <v>41</v>
      </c>
      <c r="AO19" t="s">
        <v>22</v>
      </c>
      <c r="AP19" t="s">
        <v>23</v>
      </c>
      <c r="AQ19" t="s">
        <v>60</v>
      </c>
      <c r="AS19" t="s">
        <v>67</v>
      </c>
      <c r="AU19" t="s">
        <v>43</v>
      </c>
      <c r="AV19" t="s">
        <v>41</v>
      </c>
      <c r="AZ19" t="s">
        <v>55</v>
      </c>
      <c r="BB19" t="s">
        <v>19</v>
      </c>
      <c r="BM19" t="s">
        <v>22</v>
      </c>
      <c r="BO19" t="s">
        <v>6</v>
      </c>
      <c r="BX19" t="s">
        <v>10</v>
      </c>
      <c r="BY19" t="s">
        <v>49</v>
      </c>
      <c r="CF19" t="s">
        <v>20</v>
      </c>
      <c r="CH19" t="s">
        <v>45</v>
      </c>
      <c r="CI19" t="s">
        <v>41</v>
      </c>
      <c r="CJ19" t="s">
        <v>69</v>
      </c>
      <c r="CK19" t="s">
        <v>64</v>
      </c>
      <c r="CO19" t="s">
        <v>45</v>
      </c>
      <c r="CQ19" t="s">
        <v>48</v>
      </c>
      <c r="CS19" t="s">
        <v>64</v>
      </c>
      <c r="CT19" t="s">
        <v>16</v>
      </c>
      <c r="CU19" t="s">
        <v>20</v>
      </c>
      <c r="CV19" t="s">
        <v>20</v>
      </c>
      <c r="CW19" t="s">
        <v>22</v>
      </c>
      <c r="CY19" t="s">
        <v>22</v>
      </c>
      <c r="CZ19" t="s">
        <v>48</v>
      </c>
      <c r="DA19" t="s">
        <v>23</v>
      </c>
    </row>
    <row r="20" spans="1:105" ht="15" customHeight="1" x14ac:dyDescent="0.25">
      <c r="A20" t="s">
        <v>0</v>
      </c>
      <c r="C20" t="s">
        <v>18</v>
      </c>
      <c r="D20" t="s">
        <v>54</v>
      </c>
      <c r="E20" t="s">
        <v>31</v>
      </c>
      <c r="G20" t="s">
        <v>0</v>
      </c>
      <c r="H20" t="s">
        <v>54</v>
      </c>
      <c r="K20" t="s">
        <v>11</v>
      </c>
      <c r="O20" t="s">
        <v>50</v>
      </c>
      <c r="Q20" t="s">
        <v>57</v>
      </c>
      <c r="S20" t="s">
        <v>46</v>
      </c>
      <c r="U20" t="s">
        <v>31</v>
      </c>
      <c r="X20" t="s">
        <v>50</v>
      </c>
      <c r="Z20" t="s">
        <v>39</v>
      </c>
      <c r="AC20" t="s">
        <v>57</v>
      </c>
      <c r="AE20" t="s">
        <v>44</v>
      </c>
      <c r="AG20" t="s">
        <v>54</v>
      </c>
      <c r="AI20" t="s">
        <v>13</v>
      </c>
      <c r="AM20" t="s">
        <v>46</v>
      </c>
      <c r="AO20" t="s">
        <v>31</v>
      </c>
      <c r="AQ20" t="s">
        <v>37</v>
      </c>
      <c r="AS20" t="s">
        <v>39</v>
      </c>
      <c r="AU20" t="s">
        <v>12</v>
      </c>
      <c r="AV20" t="s">
        <v>0</v>
      </c>
      <c r="BB20" t="s">
        <v>46</v>
      </c>
      <c r="BM20" t="s">
        <v>46</v>
      </c>
      <c r="BO20" t="s">
        <v>3</v>
      </c>
      <c r="BX20" t="s">
        <v>11</v>
      </c>
      <c r="BY20" t="s">
        <v>29</v>
      </c>
      <c r="CF20" t="s">
        <v>36</v>
      </c>
      <c r="CH20" t="s">
        <v>65</v>
      </c>
      <c r="CI20" t="s">
        <v>4</v>
      </c>
      <c r="CJ20" t="s">
        <v>11</v>
      </c>
      <c r="CK20" t="s">
        <v>36</v>
      </c>
      <c r="CO20" t="s">
        <v>46</v>
      </c>
      <c r="CQ20" t="s">
        <v>18</v>
      </c>
      <c r="CS20" t="s">
        <v>39</v>
      </c>
      <c r="CT20" t="s">
        <v>11</v>
      </c>
      <c r="CU20" t="s">
        <v>11</v>
      </c>
    </row>
    <row r="21" spans="1:105" ht="15" customHeight="1" x14ac:dyDescent="0.25">
      <c r="A21" t="s">
        <v>5</v>
      </c>
      <c r="C21" t="s">
        <v>14</v>
      </c>
      <c r="D21" t="s">
        <v>12</v>
      </c>
      <c r="E21" t="s">
        <v>21</v>
      </c>
      <c r="G21" t="s">
        <v>14</v>
      </c>
      <c r="H21" t="s">
        <v>12</v>
      </c>
      <c r="K21" t="s">
        <v>58</v>
      </c>
      <c r="O21" t="s">
        <v>12</v>
      </c>
      <c r="Q21" t="s">
        <v>33</v>
      </c>
      <c r="S21" t="s">
        <v>59</v>
      </c>
      <c r="U21" t="s">
        <v>62</v>
      </c>
      <c r="X21" t="s">
        <v>59</v>
      </c>
      <c r="Z21" t="s">
        <v>65</v>
      </c>
      <c r="AC21" t="s">
        <v>29</v>
      </c>
      <c r="AE21" t="s">
        <v>42</v>
      </c>
      <c r="AG21" t="s">
        <v>11</v>
      </c>
      <c r="AI21" t="s">
        <v>14</v>
      </c>
      <c r="AM21" t="s">
        <v>12</v>
      </c>
      <c r="AO21" t="s">
        <v>21</v>
      </c>
      <c r="AQ21" t="s">
        <v>59</v>
      </c>
      <c r="AS21" t="s">
        <v>65</v>
      </c>
      <c r="AU21" t="s">
        <v>59</v>
      </c>
      <c r="AV21" t="s">
        <v>58</v>
      </c>
      <c r="BB21" t="s">
        <v>36</v>
      </c>
      <c r="BM21" t="s">
        <v>12</v>
      </c>
      <c r="BO21" t="s">
        <v>0</v>
      </c>
      <c r="BX21" t="s">
        <v>47</v>
      </c>
      <c r="BY21" t="s">
        <v>59</v>
      </c>
      <c r="CF21" t="s">
        <v>4</v>
      </c>
      <c r="CH21" t="s">
        <v>58</v>
      </c>
      <c r="CI21" t="s">
        <v>30</v>
      </c>
      <c r="CJ21" t="s">
        <v>27</v>
      </c>
      <c r="CK21" t="s">
        <v>65</v>
      </c>
      <c r="CO21" t="s">
        <v>47</v>
      </c>
      <c r="CQ21" t="s">
        <v>37</v>
      </c>
      <c r="CS21" t="s">
        <v>63</v>
      </c>
      <c r="CT21" t="s">
        <v>12</v>
      </c>
      <c r="CU21" t="s">
        <v>37</v>
      </c>
    </row>
    <row r="22" spans="1:105" ht="15" customHeight="1" x14ac:dyDescent="0.25">
      <c r="A22" t="s">
        <v>8</v>
      </c>
      <c r="C22" t="s">
        <v>26</v>
      </c>
      <c r="D22" t="s">
        <v>53</v>
      </c>
      <c r="E22" t="s">
        <v>15</v>
      </c>
      <c r="G22" t="s">
        <v>8</v>
      </c>
      <c r="H22" t="s">
        <v>55</v>
      </c>
      <c r="K22" t="s">
        <v>53</v>
      </c>
      <c r="O22" t="s">
        <v>23</v>
      </c>
      <c r="Q22" t="s">
        <v>56</v>
      </c>
      <c r="S22" t="s">
        <v>53</v>
      </c>
      <c r="U22" t="s">
        <v>43</v>
      </c>
      <c r="X22" t="s">
        <v>26</v>
      </c>
      <c r="Z22" t="s">
        <v>28</v>
      </c>
      <c r="AC22" t="s">
        <v>20</v>
      </c>
      <c r="AE22" t="s">
        <v>16</v>
      </c>
      <c r="AG22" t="s">
        <v>55</v>
      </c>
      <c r="AI22" t="s">
        <v>28</v>
      </c>
      <c r="AM22" t="s">
        <v>53</v>
      </c>
      <c r="AO22" t="s">
        <v>16</v>
      </c>
      <c r="AQ22" t="s">
        <v>55</v>
      </c>
      <c r="AS22" t="s">
        <v>34</v>
      </c>
      <c r="AU22" t="s">
        <v>53</v>
      </c>
      <c r="AV22" t="s">
        <v>8</v>
      </c>
      <c r="BB22" t="s">
        <v>38</v>
      </c>
      <c r="BM22" t="s">
        <v>55</v>
      </c>
      <c r="BO22" t="s">
        <v>31</v>
      </c>
      <c r="BX22" t="s">
        <v>16</v>
      </c>
      <c r="BY22" t="s">
        <v>51</v>
      </c>
      <c r="CF22" t="s">
        <v>7</v>
      </c>
      <c r="CH22" t="s">
        <v>24</v>
      </c>
      <c r="CI22" t="s">
        <v>15</v>
      </c>
      <c r="CJ22" t="s">
        <v>48</v>
      </c>
      <c r="CK22" t="s">
        <v>38</v>
      </c>
      <c r="CO22" t="s">
        <v>53</v>
      </c>
      <c r="CQ22" t="s">
        <v>55</v>
      </c>
      <c r="CS22" t="s">
        <v>34</v>
      </c>
      <c r="CT22" t="s">
        <v>53</v>
      </c>
      <c r="CU22" t="s">
        <v>53</v>
      </c>
    </row>
    <row r="23" spans="1:105" ht="15" customHeight="1" x14ac:dyDescent="0.25">
      <c r="A23" t="s">
        <v>6</v>
      </c>
      <c r="C23" t="s">
        <v>43</v>
      </c>
      <c r="D23" t="s">
        <v>15</v>
      </c>
      <c r="E23" t="s">
        <v>52</v>
      </c>
      <c r="G23" t="s">
        <v>15</v>
      </c>
      <c r="H23" t="s">
        <v>26</v>
      </c>
      <c r="K23" t="s">
        <v>16</v>
      </c>
      <c r="O23" t="s">
        <v>49</v>
      </c>
      <c r="Q23" t="s">
        <v>32</v>
      </c>
      <c r="S23" t="s">
        <v>48</v>
      </c>
      <c r="U23" t="s">
        <v>41</v>
      </c>
      <c r="X23" t="s">
        <v>23</v>
      </c>
      <c r="Z23" t="s">
        <v>19</v>
      </c>
      <c r="AC23" t="s">
        <v>32</v>
      </c>
      <c r="AE23" t="s">
        <v>48</v>
      </c>
      <c r="AG23" t="s">
        <v>23</v>
      </c>
      <c r="AI23" t="s">
        <v>45</v>
      </c>
      <c r="AM23" t="s">
        <v>26</v>
      </c>
      <c r="AO23" t="s">
        <v>48</v>
      </c>
      <c r="AQ23" t="s">
        <v>48</v>
      </c>
      <c r="AS23" t="s">
        <v>40</v>
      </c>
      <c r="AU23" t="s">
        <v>60</v>
      </c>
      <c r="AV23" t="s">
        <v>38</v>
      </c>
      <c r="BB23" t="s">
        <v>10</v>
      </c>
      <c r="BM23" t="s">
        <v>16</v>
      </c>
      <c r="BO23" t="s">
        <v>67</v>
      </c>
      <c r="BX23" t="s">
        <v>60</v>
      </c>
      <c r="BY23" t="s">
        <v>20</v>
      </c>
      <c r="CF23" t="s">
        <v>55</v>
      </c>
      <c r="CH23" t="s">
        <v>19</v>
      </c>
      <c r="CI23" t="s">
        <v>22</v>
      </c>
      <c r="CJ23" t="s">
        <v>28</v>
      </c>
      <c r="CK23" t="s">
        <v>34</v>
      </c>
      <c r="CO23" t="s">
        <v>55</v>
      </c>
      <c r="CQ23" t="s">
        <v>18</v>
      </c>
      <c r="CS23" t="s">
        <v>32</v>
      </c>
      <c r="CT23" t="s">
        <v>51</v>
      </c>
      <c r="CU23" t="s">
        <v>26</v>
      </c>
    </row>
    <row r="24" spans="1:105" ht="15" customHeight="1" x14ac:dyDescent="0.25">
      <c r="A24" t="s">
        <v>46</v>
      </c>
      <c r="D24" t="s">
        <v>46</v>
      </c>
      <c r="E24" t="s">
        <v>18</v>
      </c>
      <c r="G24" t="s">
        <v>30</v>
      </c>
      <c r="K24" t="s">
        <v>27</v>
      </c>
      <c r="O24" t="s">
        <v>13</v>
      </c>
      <c r="Q24" t="s">
        <v>5</v>
      </c>
      <c r="S24" t="s">
        <v>3</v>
      </c>
      <c r="U24" t="s">
        <v>57</v>
      </c>
      <c r="X24" t="s">
        <v>57</v>
      </c>
      <c r="Z24" t="s">
        <v>44</v>
      </c>
      <c r="AE24" t="s">
        <v>46</v>
      </c>
      <c r="AI24" t="s">
        <v>50</v>
      </c>
      <c r="AM24" t="s">
        <v>54</v>
      </c>
      <c r="AO24" t="s">
        <v>54</v>
      </c>
      <c r="AS24" t="s">
        <v>12</v>
      </c>
      <c r="AU24" t="s">
        <v>47</v>
      </c>
      <c r="AV24" t="s">
        <v>50</v>
      </c>
      <c r="BB24" t="s">
        <v>18</v>
      </c>
      <c r="BM24" t="s">
        <v>37</v>
      </c>
      <c r="BX24" t="s">
        <v>44</v>
      </c>
      <c r="BY24" t="s">
        <v>65</v>
      </c>
      <c r="CF24" t="s">
        <v>50</v>
      </c>
      <c r="CH24" t="s">
        <v>5</v>
      </c>
      <c r="CI24" t="s">
        <v>46</v>
      </c>
      <c r="CJ24" t="s">
        <v>14</v>
      </c>
      <c r="CK24" t="s">
        <v>46</v>
      </c>
      <c r="CO24" t="s">
        <v>3</v>
      </c>
      <c r="CQ24" t="s">
        <v>3</v>
      </c>
      <c r="CS24" t="s">
        <v>54</v>
      </c>
      <c r="CT24" t="s">
        <v>3</v>
      </c>
      <c r="CU24" t="s">
        <v>3</v>
      </c>
    </row>
    <row r="25" spans="1:105" ht="15" customHeight="1" x14ac:dyDescent="0.25">
      <c r="A25" t="s">
        <v>47</v>
      </c>
      <c r="D25" t="s">
        <v>31</v>
      </c>
      <c r="E25" t="s">
        <v>62</v>
      </c>
      <c r="G25" t="s">
        <v>63</v>
      </c>
      <c r="K25" t="s">
        <v>29</v>
      </c>
      <c r="O25" t="s">
        <v>65</v>
      </c>
      <c r="Q25" t="s">
        <v>4</v>
      </c>
      <c r="S25" t="s">
        <v>1</v>
      </c>
      <c r="U25" t="s">
        <v>29</v>
      </c>
      <c r="X25" t="s">
        <v>44</v>
      </c>
      <c r="Z25" t="s">
        <v>29</v>
      </c>
      <c r="AE25" t="s">
        <v>58</v>
      </c>
      <c r="AI25" t="s">
        <v>33</v>
      </c>
      <c r="AM25" t="s">
        <v>47</v>
      </c>
      <c r="AO25" t="s">
        <v>50</v>
      </c>
      <c r="AS25" t="s">
        <v>62</v>
      </c>
      <c r="AU25" t="s">
        <v>37</v>
      </c>
      <c r="AV25" t="s">
        <v>47</v>
      </c>
      <c r="BB25" t="s">
        <v>21</v>
      </c>
      <c r="BM25" t="s">
        <v>59</v>
      </c>
      <c r="BX25" t="s">
        <v>4</v>
      </c>
      <c r="BY25" t="s">
        <v>27</v>
      </c>
      <c r="CF25" t="s">
        <v>59</v>
      </c>
      <c r="CH25" t="s">
        <v>27</v>
      </c>
      <c r="CI25" t="s">
        <v>12</v>
      </c>
      <c r="CJ25" t="s">
        <v>62</v>
      </c>
      <c r="CK25" t="s">
        <v>50</v>
      </c>
      <c r="CO25" t="s">
        <v>5</v>
      </c>
      <c r="CQ25" t="s">
        <v>4</v>
      </c>
      <c r="CS25" t="s">
        <v>0</v>
      </c>
      <c r="CT25" t="s">
        <v>44</v>
      </c>
      <c r="CU25" t="s">
        <v>30</v>
      </c>
    </row>
    <row r="26" spans="1:105" ht="15" customHeight="1" x14ac:dyDescent="0.25">
      <c r="A26" t="s">
        <v>48</v>
      </c>
      <c r="D26" t="s">
        <v>26</v>
      </c>
      <c r="E26" t="s">
        <v>17</v>
      </c>
      <c r="G26" t="s">
        <v>20</v>
      </c>
      <c r="K26" t="s">
        <v>28</v>
      </c>
      <c r="O26" t="s">
        <v>34</v>
      </c>
      <c r="Q26" t="s">
        <v>23</v>
      </c>
      <c r="S26" t="s">
        <v>8</v>
      </c>
      <c r="U26" t="s">
        <v>20</v>
      </c>
      <c r="X26" t="s">
        <v>31</v>
      </c>
      <c r="Z26" t="s">
        <v>40</v>
      </c>
      <c r="AE26" t="s">
        <v>24</v>
      </c>
      <c r="AI26" t="s">
        <v>26</v>
      </c>
      <c r="AM26" t="s">
        <v>51</v>
      </c>
      <c r="AO26" t="s">
        <v>23</v>
      </c>
      <c r="AS26" t="s">
        <v>38</v>
      </c>
      <c r="AU26" t="s">
        <v>26</v>
      </c>
      <c r="AV26" t="s">
        <v>53</v>
      </c>
      <c r="BB26" t="s">
        <v>68</v>
      </c>
      <c r="BM26" t="s">
        <v>53</v>
      </c>
      <c r="BX26" t="s">
        <v>7</v>
      </c>
      <c r="BY26" t="s">
        <v>34</v>
      </c>
      <c r="CF26" t="s">
        <v>53</v>
      </c>
      <c r="CH26" t="s">
        <v>28</v>
      </c>
      <c r="CI26" t="s">
        <v>51</v>
      </c>
      <c r="CJ26" t="s">
        <v>43</v>
      </c>
      <c r="CK26" t="s">
        <v>48</v>
      </c>
      <c r="CO26" t="s">
        <v>23</v>
      </c>
      <c r="CQ26" t="s">
        <v>53</v>
      </c>
      <c r="CS26" t="s">
        <v>26</v>
      </c>
      <c r="CT26" t="s">
        <v>9</v>
      </c>
      <c r="CU26" t="s">
        <v>31</v>
      </c>
    </row>
    <row r="27" spans="1:105" ht="15" customHeight="1" x14ac:dyDescent="0.25">
      <c r="A27" t="s">
        <v>49</v>
      </c>
      <c r="D27" t="s">
        <v>41</v>
      </c>
      <c r="E27" t="s">
        <v>22</v>
      </c>
      <c r="G27" t="s">
        <v>56</v>
      </c>
      <c r="K27" t="s">
        <v>20</v>
      </c>
      <c r="O27" t="s">
        <v>10</v>
      </c>
      <c r="Q27" t="s">
        <v>25</v>
      </c>
      <c r="S27" t="s">
        <v>6</v>
      </c>
      <c r="U27" t="s">
        <v>56</v>
      </c>
      <c r="X27" t="s">
        <v>32</v>
      </c>
      <c r="Z27" t="s">
        <v>45</v>
      </c>
      <c r="AE27" t="s">
        <v>26</v>
      </c>
      <c r="AI27" t="s">
        <v>20</v>
      </c>
      <c r="AM27" t="s">
        <v>16</v>
      </c>
      <c r="AO27" t="s">
        <v>60</v>
      </c>
      <c r="AS27" t="s">
        <v>64</v>
      </c>
      <c r="AU27" t="s">
        <v>49</v>
      </c>
      <c r="AV27" t="s">
        <v>48</v>
      </c>
      <c r="BB27" t="s">
        <v>64</v>
      </c>
      <c r="BM27" t="s">
        <v>60</v>
      </c>
      <c r="BX27" t="s">
        <v>31</v>
      </c>
      <c r="BY27" t="s">
        <v>45</v>
      </c>
      <c r="CF27" t="s">
        <v>15</v>
      </c>
      <c r="CH27" t="s">
        <v>6</v>
      </c>
      <c r="CI27" t="s">
        <v>16</v>
      </c>
      <c r="CJ27" t="s">
        <v>22</v>
      </c>
      <c r="CK27" t="s">
        <v>23</v>
      </c>
      <c r="CO27" t="s">
        <v>60</v>
      </c>
      <c r="CQ27" t="s">
        <v>16</v>
      </c>
      <c r="CS27" t="s">
        <v>9</v>
      </c>
      <c r="CT27" t="s">
        <v>20</v>
      </c>
      <c r="CU27" t="s">
        <v>32</v>
      </c>
    </row>
    <row r="28" spans="1:105" ht="15" customHeight="1" x14ac:dyDescent="0.25">
      <c r="A28" t="s">
        <v>50</v>
      </c>
      <c r="D28" t="s">
        <v>14</v>
      </c>
      <c r="E28" t="s">
        <v>39</v>
      </c>
      <c r="K28" t="s">
        <v>39</v>
      </c>
      <c r="AI28" t="s">
        <v>31</v>
      </c>
      <c r="AS28" t="s">
        <v>11</v>
      </c>
      <c r="BB28" t="s">
        <v>54</v>
      </c>
      <c r="BY28" t="s">
        <v>44</v>
      </c>
      <c r="CH28" t="s">
        <v>31</v>
      </c>
      <c r="CI28" t="s">
        <v>47</v>
      </c>
      <c r="CJ28" t="s">
        <v>3</v>
      </c>
      <c r="CK28" t="s">
        <v>0</v>
      </c>
      <c r="CQ28" t="s">
        <v>33</v>
      </c>
      <c r="CS28" t="s">
        <v>11</v>
      </c>
      <c r="CT28" t="s">
        <v>39</v>
      </c>
      <c r="CU28" t="s">
        <v>33</v>
      </c>
    </row>
    <row r="29" spans="1:105" ht="15" customHeight="1" x14ac:dyDescent="0.25">
      <c r="A29" t="s">
        <v>11</v>
      </c>
      <c r="D29" t="s">
        <v>21</v>
      </c>
      <c r="E29" t="s">
        <v>54</v>
      </c>
      <c r="K29" t="s">
        <v>18</v>
      </c>
      <c r="AI29" t="s">
        <v>2</v>
      </c>
      <c r="AS29" t="s">
        <v>14</v>
      </c>
      <c r="BB29" t="s">
        <v>37</v>
      </c>
      <c r="BY29" t="s">
        <v>18</v>
      </c>
      <c r="CH29" t="s">
        <v>47</v>
      </c>
      <c r="CI29" t="s">
        <v>59</v>
      </c>
      <c r="CJ29" t="s">
        <v>0</v>
      </c>
      <c r="CK29" t="s">
        <v>42</v>
      </c>
      <c r="CQ29" t="s">
        <v>63</v>
      </c>
      <c r="CS29" t="s">
        <v>47</v>
      </c>
      <c r="CT29" t="s">
        <v>13</v>
      </c>
      <c r="CU29" t="s">
        <v>42</v>
      </c>
    </row>
    <row r="30" spans="1:105" ht="15" customHeight="1" x14ac:dyDescent="0.25">
      <c r="A30" t="s">
        <v>51</v>
      </c>
      <c r="D30" t="s">
        <v>19</v>
      </c>
      <c r="E30" t="s">
        <v>26</v>
      </c>
      <c r="K30" t="s">
        <v>19</v>
      </c>
      <c r="AI30" t="s">
        <v>8</v>
      </c>
      <c r="AS30" t="s">
        <v>26</v>
      </c>
      <c r="BB30" t="s">
        <v>60</v>
      </c>
      <c r="BY30" t="s">
        <v>15</v>
      </c>
      <c r="CH30" t="s">
        <v>38</v>
      </c>
      <c r="CI30" t="s">
        <v>53</v>
      </c>
      <c r="CJ30" t="s">
        <v>8</v>
      </c>
      <c r="CK30" t="s">
        <v>8</v>
      </c>
      <c r="CQ30" t="s">
        <v>8</v>
      </c>
      <c r="CS30" t="s">
        <v>24</v>
      </c>
      <c r="CT30" t="s">
        <v>19</v>
      </c>
      <c r="CU30" t="s">
        <v>35</v>
      </c>
    </row>
    <row r="31" spans="1:105" ht="15" customHeight="1" x14ac:dyDescent="0.25">
      <c r="A31" t="s">
        <v>16</v>
      </c>
      <c r="D31" t="s">
        <v>40</v>
      </c>
      <c r="E31" t="s">
        <v>40</v>
      </c>
      <c r="K31" t="s">
        <v>40</v>
      </c>
      <c r="AI31" t="s">
        <v>41</v>
      </c>
      <c r="AS31" t="s">
        <v>41</v>
      </c>
      <c r="BB31" t="s">
        <v>49</v>
      </c>
      <c r="BY31" t="s">
        <v>32</v>
      </c>
      <c r="CH31" t="s">
        <v>64</v>
      </c>
      <c r="CI31" t="s">
        <v>26</v>
      </c>
      <c r="CJ31" t="s">
        <v>9</v>
      </c>
      <c r="CK31" t="s">
        <v>17</v>
      </c>
      <c r="CQ31" t="s">
        <v>6</v>
      </c>
      <c r="CS31" t="s">
        <v>49</v>
      </c>
      <c r="CT31" t="s">
        <v>10</v>
      </c>
      <c r="CU31" t="s">
        <v>45</v>
      </c>
    </row>
    <row r="32" spans="1:105" ht="15" customHeight="1" x14ac:dyDescent="0.25">
      <c r="A32" t="s">
        <v>18</v>
      </c>
      <c r="D32" t="s">
        <v>39</v>
      </c>
      <c r="K32" t="s">
        <v>1</v>
      </c>
      <c r="AI32" t="s">
        <v>3</v>
      </c>
      <c r="CH32" t="s">
        <v>54</v>
      </c>
      <c r="CI32" t="s">
        <v>50</v>
      </c>
      <c r="CS32" t="s">
        <v>46</v>
      </c>
      <c r="CT32" t="s">
        <v>59</v>
      </c>
    </row>
    <row r="33" spans="1:98" ht="15" customHeight="1" x14ac:dyDescent="0.25">
      <c r="A33" t="s">
        <v>21</v>
      </c>
      <c r="D33" t="s">
        <v>18</v>
      </c>
      <c r="K33" t="s">
        <v>2</v>
      </c>
      <c r="AI33" t="s">
        <v>59</v>
      </c>
      <c r="CH33" t="s">
        <v>29</v>
      </c>
      <c r="CI33" t="s">
        <v>37</v>
      </c>
      <c r="CS33" t="s">
        <v>58</v>
      </c>
      <c r="CT33" t="s">
        <v>58</v>
      </c>
    </row>
    <row r="34" spans="1:98" ht="15" customHeight="1" x14ac:dyDescent="0.25">
      <c r="A34" t="s">
        <v>34</v>
      </c>
      <c r="D34" t="s">
        <v>17</v>
      </c>
      <c r="K34" t="s">
        <v>31</v>
      </c>
      <c r="AI34" t="s">
        <v>7</v>
      </c>
      <c r="CH34" t="s">
        <v>7</v>
      </c>
      <c r="CI34" t="s">
        <v>23</v>
      </c>
      <c r="CS34" t="s">
        <v>23</v>
      </c>
      <c r="CT34" t="s">
        <v>48</v>
      </c>
    </row>
    <row r="35" spans="1:98" ht="15" customHeight="1" x14ac:dyDescent="0.25">
      <c r="A35" t="s">
        <v>19</v>
      </c>
      <c r="D35" t="s">
        <v>22</v>
      </c>
      <c r="K35" t="s">
        <v>32</v>
      </c>
      <c r="AI35" t="s">
        <v>48</v>
      </c>
      <c r="CH35" t="s">
        <v>49</v>
      </c>
      <c r="CI35" t="s">
        <v>49</v>
      </c>
      <c r="CS35" t="s">
        <v>25</v>
      </c>
      <c r="CT35" t="s">
        <v>60</v>
      </c>
    </row>
    <row r="36" spans="1:98" ht="15" customHeight="1" x14ac:dyDescent="0.25">
      <c r="A36" t="s">
        <v>14</v>
      </c>
    </row>
    <row r="37" spans="1:98" ht="15" customHeight="1" x14ac:dyDescent="0.25">
      <c r="A37" t="s">
        <v>42</v>
      </c>
    </row>
    <row r="38" spans="1:98" ht="15" customHeight="1" x14ac:dyDescent="0.25">
      <c r="A38" t="s">
        <v>17</v>
      </c>
    </row>
    <row r="39" spans="1:98" ht="15" customHeight="1" x14ac:dyDescent="0.25">
      <c r="A39" t="s">
        <v>43</v>
      </c>
    </row>
    <row r="40" spans="1:98" ht="15" customHeight="1" x14ac:dyDescent="0.25"/>
    <row r="41" spans="1:98" ht="15" customHeight="1" x14ac:dyDescent="0.25"/>
    <row r="42" spans="1:98" ht="1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U13"/>
  <sheetViews>
    <sheetView topLeftCell="CJ1" zoomScale="96" zoomScaleNormal="96" workbookViewId="0">
      <selection activeCell="CV1" sqref="CV1:XFD1048576"/>
    </sheetView>
  </sheetViews>
  <sheetFormatPr defaultRowHeight="14.45" customHeight="1" x14ac:dyDescent="0.25"/>
  <cols>
    <col min="1" max="1" width="79" customWidth="1"/>
    <col min="2" max="2" width="46.42578125" customWidth="1"/>
    <col min="3" max="3" width="72.140625" customWidth="1"/>
    <col min="4" max="4" width="58.28515625" customWidth="1"/>
    <col min="5" max="5" width="62.5703125" customWidth="1"/>
    <col min="6" max="6" width="79.42578125" customWidth="1"/>
    <col min="7" max="7" width="74" customWidth="1"/>
    <col min="8" max="8" width="71.140625" customWidth="1"/>
    <col min="9" max="9" width="70.7109375" customWidth="1"/>
    <col min="10" max="10" width="60.140625" customWidth="1"/>
    <col min="11" max="11" width="73" customWidth="1"/>
    <col min="12" max="12" width="58.28515625" customWidth="1"/>
    <col min="13" max="13" width="57.42578125" customWidth="1"/>
    <col min="14" max="14" width="59.7109375" customWidth="1"/>
    <col min="15" max="15" width="73.85546875" customWidth="1"/>
    <col min="16" max="16" width="64.85546875" customWidth="1"/>
    <col min="17" max="17" width="70.28515625" customWidth="1"/>
    <col min="18" max="18" width="66.140625" customWidth="1"/>
    <col min="19" max="19" width="41.5703125" customWidth="1"/>
    <col min="20" max="20" width="31.140625" customWidth="1"/>
    <col min="21" max="21" width="62.42578125" customWidth="1"/>
    <col min="23" max="23" width="14.5703125" customWidth="1"/>
    <col min="24" max="24" width="48.42578125" customWidth="1"/>
    <col min="25" max="25" width="44" customWidth="1"/>
    <col min="26" max="26" width="69.42578125" customWidth="1"/>
    <col min="27" max="27" width="68.85546875" customWidth="1"/>
    <col min="28" max="28" width="44.140625" customWidth="1"/>
    <col min="29" max="29" width="64.28515625" customWidth="1"/>
    <col min="30" max="30" width="46.85546875" customWidth="1"/>
    <col min="31" max="31" width="53.140625" customWidth="1"/>
    <col min="32" max="32" width="57.42578125" customWidth="1"/>
    <col min="33" max="33" width="55.140625" customWidth="1"/>
    <col min="34" max="34" width="60.85546875" customWidth="1"/>
    <col min="35" max="35" width="48.140625" customWidth="1"/>
    <col min="36" max="36" width="54.5703125" customWidth="1"/>
    <col min="37" max="37" width="80" customWidth="1"/>
    <col min="38" max="38" width="79.28515625" customWidth="1"/>
    <col min="39" max="39" width="71.85546875" customWidth="1"/>
    <col min="40" max="40" width="62.7109375" customWidth="1"/>
    <col min="41" max="41" width="53.28515625" customWidth="1"/>
    <col min="42" max="42" width="63.5703125" customWidth="1"/>
    <col min="43" max="44" width="70.5703125" customWidth="1"/>
    <col min="45" max="45" width="60.7109375" customWidth="1"/>
    <col min="46" max="46" width="54.42578125" customWidth="1"/>
    <col min="47" max="47" width="85.140625" customWidth="1"/>
    <col min="48" max="48" width="52.5703125" customWidth="1"/>
    <col min="49" max="49" width="18.42578125" customWidth="1"/>
    <col min="50" max="50" width="66.42578125" customWidth="1"/>
    <col min="51" max="51" width="48.85546875" customWidth="1"/>
    <col min="52" max="52" width="27.7109375" customWidth="1"/>
    <col min="53" max="53" width="51.85546875" customWidth="1"/>
    <col min="54" max="54" width="67.7109375" customWidth="1"/>
    <col min="55" max="55" width="13.7109375" customWidth="1"/>
    <col min="56" max="56" width="51.7109375" customWidth="1"/>
    <col min="57" max="57" width="23.42578125" customWidth="1"/>
    <col min="58" max="58" width="46.42578125" customWidth="1"/>
    <col min="59" max="59" width="58.140625" customWidth="1"/>
    <col min="60" max="60" width="57.42578125" customWidth="1"/>
    <col min="61" max="61" width="49.140625" customWidth="1"/>
    <col min="62" max="62" width="25.5703125" customWidth="1"/>
    <col min="63" max="63" width="12.7109375" customWidth="1"/>
    <col min="64" max="64" width="47.85546875" customWidth="1"/>
    <col min="65" max="65" width="65" customWidth="1"/>
    <col min="66" max="66" width="53.7109375" customWidth="1"/>
    <col min="67" max="67" width="73.85546875" customWidth="1"/>
    <col min="68" max="68" width="67.140625" customWidth="1"/>
    <col min="69" max="69" width="57.85546875" customWidth="1"/>
    <col min="71" max="71" width="19.28515625" customWidth="1"/>
    <col min="72" max="72" width="55.7109375" customWidth="1"/>
    <col min="73" max="73" width="16.85546875" customWidth="1"/>
    <col min="80" max="80" width="9.28515625" customWidth="1"/>
    <col min="81" max="81" width="66.140625" customWidth="1"/>
    <col min="82" max="82" width="56.28515625" customWidth="1"/>
    <col min="83" max="83" width="41.28515625" customWidth="1"/>
    <col min="84" max="84" width="75.7109375" customWidth="1"/>
    <col min="85" max="85" width="65.7109375" customWidth="1"/>
    <col min="86" max="86" width="52.28515625" customWidth="1"/>
    <col min="87" max="87" width="49.7109375" customWidth="1"/>
    <col min="98" max="98" width="27.140625" customWidth="1"/>
    <col min="99" max="99" width="15.28515625" customWidth="1"/>
    <col min="100" max="100" width="19.140625" customWidth="1"/>
    <col min="105" max="105" width="66.85546875" customWidth="1"/>
    <col min="106" max="106" width="25.42578125" customWidth="1"/>
  </cols>
  <sheetData>
    <row r="3" spans="1:99" ht="15" customHeight="1" x14ac:dyDescent="0.25">
      <c r="A3" s="14">
        <v>44450</v>
      </c>
      <c r="B3" t="s">
        <v>78</v>
      </c>
      <c r="C3" t="s">
        <v>76</v>
      </c>
      <c r="D3" t="s">
        <v>75</v>
      </c>
      <c r="E3" t="s">
        <v>77</v>
      </c>
      <c r="F3" t="s">
        <v>80</v>
      </c>
      <c r="G3" t="s">
        <v>83</v>
      </c>
      <c r="H3" t="s">
        <v>79</v>
      </c>
      <c r="I3" t="s">
        <v>81</v>
      </c>
      <c r="J3" t="s">
        <v>82</v>
      </c>
      <c r="K3" t="s">
        <v>94</v>
      </c>
      <c r="L3" t="s">
        <v>110</v>
      </c>
      <c r="M3" t="s">
        <v>114</v>
      </c>
      <c r="N3" t="s">
        <v>93</v>
      </c>
      <c r="O3" t="s">
        <v>84</v>
      </c>
      <c r="P3" t="s">
        <v>100</v>
      </c>
      <c r="Q3" t="s">
        <v>85</v>
      </c>
      <c r="R3" t="s">
        <v>115</v>
      </c>
      <c r="S3" t="s">
        <v>86</v>
      </c>
      <c r="T3" t="s">
        <v>113</v>
      </c>
      <c r="U3" t="s">
        <v>101</v>
      </c>
      <c r="V3" t="s">
        <v>109</v>
      </c>
      <c r="W3" t="s">
        <v>108</v>
      </c>
      <c r="X3" t="s">
        <v>112</v>
      </c>
      <c r="Y3" t="s">
        <v>121</v>
      </c>
      <c r="Z3" t="s">
        <v>103</v>
      </c>
      <c r="AA3" t="s">
        <v>95</v>
      </c>
      <c r="AB3" t="s">
        <v>133</v>
      </c>
      <c r="AC3" t="s">
        <v>96</v>
      </c>
      <c r="AD3" t="s">
        <v>102</v>
      </c>
      <c r="AE3" t="s">
        <v>97</v>
      </c>
      <c r="AF3" t="s">
        <v>119</v>
      </c>
      <c r="AG3" t="s">
        <v>104</v>
      </c>
      <c r="AH3" t="s">
        <v>120</v>
      </c>
      <c r="AI3" t="s">
        <v>111</v>
      </c>
      <c r="AJ3" t="s">
        <v>87</v>
      </c>
      <c r="AK3" t="s">
        <v>99</v>
      </c>
      <c r="AL3" t="s">
        <v>126</v>
      </c>
      <c r="AM3" t="s">
        <v>98</v>
      </c>
      <c r="AN3" t="s">
        <v>128</v>
      </c>
      <c r="AO3" t="s">
        <v>116</v>
      </c>
      <c r="AP3" t="s">
        <v>124</v>
      </c>
      <c r="AQ3" t="s">
        <v>122</v>
      </c>
      <c r="AR3" t="s">
        <v>140</v>
      </c>
      <c r="AS3" t="s">
        <v>105</v>
      </c>
      <c r="AT3" t="s">
        <v>156</v>
      </c>
      <c r="AU3" t="s">
        <v>88</v>
      </c>
      <c r="AV3" t="s">
        <v>118</v>
      </c>
      <c r="AW3" t="s">
        <v>137</v>
      </c>
      <c r="AX3" t="s">
        <v>143</v>
      </c>
      <c r="AY3" t="s">
        <v>145</v>
      </c>
      <c r="AZ3" t="s">
        <v>131</v>
      </c>
      <c r="BA3" t="s">
        <v>129</v>
      </c>
      <c r="BB3" t="s">
        <v>106</v>
      </c>
      <c r="BC3" t="s">
        <v>153</v>
      </c>
      <c r="BD3" t="s">
        <v>138</v>
      </c>
      <c r="BE3" t="s">
        <v>160</v>
      </c>
      <c r="BF3" t="s">
        <v>141</v>
      </c>
      <c r="BG3" t="s">
        <v>151</v>
      </c>
      <c r="BH3" t="s">
        <v>149</v>
      </c>
      <c r="BI3" t="s">
        <v>139</v>
      </c>
      <c r="BJ3" t="s">
        <v>117</v>
      </c>
      <c r="BK3" t="s">
        <v>169</v>
      </c>
      <c r="BL3" t="s">
        <v>148</v>
      </c>
      <c r="BM3" t="s">
        <v>89</v>
      </c>
      <c r="BN3" t="s">
        <v>154</v>
      </c>
      <c r="BO3" t="s">
        <v>91</v>
      </c>
      <c r="BP3" t="s">
        <v>158</v>
      </c>
      <c r="BQ3" t="s">
        <v>125</v>
      </c>
      <c r="BR3" t="s">
        <v>159</v>
      </c>
      <c r="BS3" t="s">
        <v>90</v>
      </c>
      <c r="BT3" t="s">
        <v>144</v>
      </c>
      <c r="BU3" t="s">
        <v>136</v>
      </c>
      <c r="BV3" t="s">
        <v>142</v>
      </c>
      <c r="BW3" t="s">
        <v>162</v>
      </c>
      <c r="BX3" t="s">
        <v>147</v>
      </c>
      <c r="BY3" t="s">
        <v>130</v>
      </c>
      <c r="BZ3" t="s">
        <v>161</v>
      </c>
      <c r="CA3" t="s">
        <v>173</v>
      </c>
      <c r="CB3" t="s">
        <v>167</v>
      </c>
      <c r="CC3" t="s">
        <v>123</v>
      </c>
      <c r="CD3" t="s">
        <v>170</v>
      </c>
      <c r="CE3" t="s">
        <v>177</v>
      </c>
      <c r="CF3" t="s">
        <v>155</v>
      </c>
      <c r="CG3" t="s">
        <v>157</v>
      </c>
      <c r="CH3" t="s">
        <v>134</v>
      </c>
      <c r="CI3" t="s">
        <v>150</v>
      </c>
      <c r="CJ3" t="s">
        <v>107</v>
      </c>
      <c r="CK3" t="s">
        <v>164</v>
      </c>
      <c r="CL3" t="s">
        <v>175</v>
      </c>
      <c r="CM3" t="s">
        <v>172</v>
      </c>
      <c r="CN3" t="s">
        <v>181</v>
      </c>
      <c r="CO3" t="s">
        <v>146</v>
      </c>
      <c r="CP3" t="s">
        <v>176</v>
      </c>
      <c r="CQ3" t="s">
        <v>163</v>
      </c>
      <c r="CR3" t="s">
        <v>152</v>
      </c>
      <c r="CS3" t="s">
        <v>127</v>
      </c>
      <c r="CT3" t="s">
        <v>132</v>
      </c>
      <c r="CU3" t="s">
        <v>135</v>
      </c>
    </row>
    <row r="4" spans="1:99" ht="15" customHeight="1" x14ac:dyDescent="0.25">
      <c r="A4" t="s">
        <v>192</v>
      </c>
      <c r="B4" t="s">
        <v>193</v>
      </c>
      <c r="C4" t="s">
        <v>194</v>
      </c>
      <c r="D4" t="s">
        <v>195</v>
      </c>
      <c r="E4" t="s">
        <v>196</v>
      </c>
      <c r="F4" t="s">
        <v>197</v>
      </c>
      <c r="G4" t="s">
        <v>198</v>
      </c>
      <c r="H4" t="s">
        <v>199</v>
      </c>
      <c r="I4" t="s">
        <v>200</v>
      </c>
      <c r="J4" t="s">
        <v>201</v>
      </c>
      <c r="K4" t="s">
        <v>202</v>
      </c>
      <c r="L4" t="s">
        <v>203</v>
      </c>
      <c r="M4" t="s">
        <v>204</v>
      </c>
      <c r="N4" t="s">
        <v>205</v>
      </c>
      <c r="O4" t="s">
        <v>206</v>
      </c>
      <c r="P4" t="s">
        <v>207</v>
      </c>
      <c r="Q4" t="s">
        <v>208</v>
      </c>
      <c r="R4" t="s">
        <v>209</v>
      </c>
      <c r="S4" t="s">
        <v>210</v>
      </c>
      <c r="T4" t="s">
        <v>211</v>
      </c>
      <c r="U4" t="s">
        <v>212</v>
      </c>
      <c r="V4" t="s">
        <v>213</v>
      </c>
      <c r="W4" t="s">
        <v>214</v>
      </c>
      <c r="X4" t="s">
        <v>215</v>
      </c>
      <c r="Y4" t="s">
        <v>216</v>
      </c>
      <c r="Z4" t="s">
        <v>217</v>
      </c>
      <c r="AA4" t="s">
        <v>218</v>
      </c>
      <c r="AB4" t="s">
        <v>219</v>
      </c>
      <c r="AC4" t="s">
        <v>220</v>
      </c>
      <c r="AD4" t="s">
        <v>221</v>
      </c>
      <c r="AE4" t="s">
        <v>222</v>
      </c>
      <c r="AF4" t="s">
        <v>223</v>
      </c>
      <c r="AG4" t="s">
        <v>224</v>
      </c>
      <c r="AH4" t="s">
        <v>225</v>
      </c>
      <c r="AI4" t="s">
        <v>226</v>
      </c>
      <c r="AJ4" t="s">
        <v>227</v>
      </c>
      <c r="AK4" t="s">
        <v>228</v>
      </c>
      <c r="AL4" t="s">
        <v>229</v>
      </c>
      <c r="AM4" t="s">
        <v>230</v>
      </c>
      <c r="AN4" t="s">
        <v>231</v>
      </c>
      <c r="AO4" t="s">
        <v>232</v>
      </c>
      <c r="AP4" t="s">
        <v>233</v>
      </c>
      <c r="AQ4" s="15" t="s">
        <v>234</v>
      </c>
      <c r="AR4" t="s">
        <v>235</v>
      </c>
      <c r="AS4" s="15" t="s">
        <v>236</v>
      </c>
      <c r="AT4" t="s">
        <v>237</v>
      </c>
      <c r="AU4" t="s">
        <v>238</v>
      </c>
      <c r="AV4" s="15" t="s">
        <v>239</v>
      </c>
      <c r="AW4" t="s">
        <v>240</v>
      </c>
      <c r="AX4" t="s">
        <v>241</v>
      </c>
      <c r="AY4" t="s">
        <v>242</v>
      </c>
      <c r="AZ4" t="s">
        <v>243</v>
      </c>
      <c r="BA4" t="s">
        <v>244</v>
      </c>
      <c r="BB4" s="15" t="s">
        <v>245</v>
      </c>
      <c r="BC4" t="s">
        <v>246</v>
      </c>
      <c r="BD4" t="s">
        <v>247</v>
      </c>
      <c r="BE4" t="s">
        <v>248</v>
      </c>
      <c r="BF4" t="s">
        <v>249</v>
      </c>
      <c r="BG4" t="s">
        <v>250</v>
      </c>
      <c r="BH4" t="s">
        <v>251</v>
      </c>
      <c r="BI4" s="15" t="s">
        <v>252</v>
      </c>
      <c r="BJ4" t="s">
        <v>253</v>
      </c>
      <c r="BK4" t="s">
        <v>254</v>
      </c>
      <c r="BL4" t="s">
        <v>255</v>
      </c>
      <c r="BM4" s="15" t="s">
        <v>256</v>
      </c>
      <c r="BN4" t="s">
        <v>257</v>
      </c>
      <c r="BO4" t="s">
        <v>258</v>
      </c>
      <c r="BP4" s="15" t="s">
        <v>259</v>
      </c>
      <c r="BQ4" t="s">
        <v>260</v>
      </c>
      <c r="BR4" t="s">
        <v>261</v>
      </c>
      <c r="BU4" t="s">
        <v>262</v>
      </c>
      <c r="BV4" t="s">
        <v>263</v>
      </c>
      <c r="BW4" t="s">
        <v>264</v>
      </c>
      <c r="BX4" t="s">
        <v>265</v>
      </c>
      <c r="BY4" t="s">
        <v>266</v>
      </c>
      <c r="BZ4" t="s">
        <v>267</v>
      </c>
      <c r="CD4" t="s">
        <v>268</v>
      </c>
      <c r="CE4" t="s">
        <v>269</v>
      </c>
      <c r="CF4" t="s">
        <v>270</v>
      </c>
      <c r="CG4" t="s">
        <v>271</v>
      </c>
      <c r="CH4" t="s">
        <v>272</v>
      </c>
      <c r="CI4" t="s">
        <v>273</v>
      </c>
      <c r="CJ4" t="s">
        <v>274</v>
      </c>
      <c r="CK4" t="s">
        <v>275</v>
      </c>
      <c r="CL4" t="s">
        <v>276</v>
      </c>
      <c r="CM4" t="s">
        <v>277</v>
      </c>
      <c r="CN4" t="s">
        <v>278</v>
      </c>
      <c r="CO4" t="s">
        <v>279</v>
      </c>
      <c r="CP4" t="s">
        <v>280</v>
      </c>
      <c r="CQ4" t="s">
        <v>281</v>
      </c>
      <c r="CR4" t="s">
        <v>282</v>
      </c>
      <c r="CS4" t="s">
        <v>283</v>
      </c>
      <c r="CT4" t="s">
        <v>284</v>
      </c>
      <c r="CU4" t="s">
        <v>285</v>
      </c>
    </row>
    <row r="5" spans="1:99" ht="15" customHeight="1" x14ac:dyDescent="0.25">
      <c r="A5" t="s">
        <v>286</v>
      </c>
      <c r="B5" t="s">
        <v>287</v>
      </c>
      <c r="C5" t="s">
        <v>288</v>
      </c>
      <c r="D5" t="s">
        <v>289</v>
      </c>
      <c r="E5" t="s">
        <v>290</v>
      </c>
      <c r="G5" t="s">
        <v>291</v>
      </c>
      <c r="H5" t="s">
        <v>292</v>
      </c>
      <c r="I5" t="s">
        <v>293</v>
      </c>
      <c r="K5" t="s">
        <v>294</v>
      </c>
      <c r="O5" t="s">
        <v>295</v>
      </c>
      <c r="Q5" t="s">
        <v>296</v>
      </c>
      <c r="S5" t="s">
        <v>297</v>
      </c>
      <c r="U5" t="s">
        <v>298</v>
      </c>
      <c r="V5" t="s">
        <v>299</v>
      </c>
      <c r="X5" t="s">
        <v>300</v>
      </c>
      <c r="Z5" t="s">
        <v>301</v>
      </c>
      <c r="AC5" t="s">
        <v>302</v>
      </c>
      <c r="AE5" t="s">
        <v>303</v>
      </c>
      <c r="AF5" t="s">
        <v>304</v>
      </c>
      <c r="AG5" t="s">
        <v>305</v>
      </c>
      <c r="AH5" t="s">
        <v>306</v>
      </c>
      <c r="AI5" t="s">
        <v>307</v>
      </c>
      <c r="AJ5" t="s">
        <v>308</v>
      </c>
      <c r="AK5" t="s">
        <v>309</v>
      </c>
      <c r="AM5" t="s">
        <v>310</v>
      </c>
      <c r="AO5" t="s">
        <v>311</v>
      </c>
      <c r="AP5" t="s">
        <v>312</v>
      </c>
      <c r="AQ5" s="15" t="s">
        <v>313</v>
      </c>
      <c r="AR5" t="s">
        <v>314</v>
      </c>
      <c r="AS5" s="15" t="s">
        <v>315</v>
      </c>
      <c r="AU5" t="s">
        <v>316</v>
      </c>
      <c r="AV5" s="15" t="s">
        <v>317</v>
      </c>
      <c r="AZ5" t="s">
        <v>318</v>
      </c>
      <c r="BA5" t="s">
        <v>319</v>
      </c>
      <c r="BB5" s="15" t="s">
        <v>320</v>
      </c>
      <c r="BC5" t="s">
        <v>321</v>
      </c>
      <c r="BG5" t="s">
        <v>322</v>
      </c>
      <c r="BH5" t="s">
        <v>323</v>
      </c>
      <c r="BI5" s="15" t="s">
        <v>324</v>
      </c>
      <c r="BM5" s="15" t="s">
        <v>325</v>
      </c>
      <c r="BO5" t="s">
        <v>326</v>
      </c>
      <c r="BP5" s="15" t="s">
        <v>327</v>
      </c>
      <c r="BS5" t="s">
        <v>328</v>
      </c>
      <c r="BT5" t="s">
        <v>329</v>
      </c>
      <c r="BU5" t="s">
        <v>330</v>
      </c>
      <c r="BW5" t="s">
        <v>237</v>
      </c>
      <c r="BX5" t="s">
        <v>331</v>
      </c>
      <c r="BY5" t="s">
        <v>332</v>
      </c>
      <c r="CC5" t="s">
        <v>333</v>
      </c>
      <c r="CF5" t="s">
        <v>334</v>
      </c>
      <c r="CH5" t="s">
        <v>335</v>
      </c>
      <c r="CI5" t="s">
        <v>336</v>
      </c>
      <c r="CJ5" t="s">
        <v>337</v>
      </c>
      <c r="CK5" t="s">
        <v>338</v>
      </c>
      <c r="CM5" t="s">
        <v>339</v>
      </c>
      <c r="CO5" t="s">
        <v>340</v>
      </c>
      <c r="CS5" t="s">
        <v>341</v>
      </c>
      <c r="CT5" t="s">
        <v>342</v>
      </c>
    </row>
    <row r="6" spans="1:99" ht="15" customHeight="1" x14ac:dyDescent="0.25">
      <c r="A6" t="s">
        <v>343</v>
      </c>
      <c r="B6" t="s">
        <v>344</v>
      </c>
      <c r="C6" t="s">
        <v>345</v>
      </c>
      <c r="D6" t="s">
        <v>346</v>
      </c>
      <c r="E6" t="s">
        <v>347</v>
      </c>
      <c r="G6" t="s">
        <v>348</v>
      </c>
      <c r="H6" t="s">
        <v>349</v>
      </c>
      <c r="I6" t="s">
        <v>350</v>
      </c>
      <c r="K6" t="s">
        <v>351</v>
      </c>
      <c r="O6" t="s">
        <v>352</v>
      </c>
      <c r="Q6" t="s">
        <v>353</v>
      </c>
      <c r="S6" t="s">
        <v>354</v>
      </c>
      <c r="U6" t="s">
        <v>355</v>
      </c>
      <c r="X6" t="s">
        <v>356</v>
      </c>
      <c r="Z6" t="s">
        <v>357</v>
      </c>
      <c r="AC6" t="s">
        <v>358</v>
      </c>
      <c r="AE6" t="s">
        <v>359</v>
      </c>
      <c r="AG6" t="s">
        <v>360</v>
      </c>
      <c r="AI6" t="s">
        <v>361</v>
      </c>
      <c r="AM6" t="s">
        <v>362</v>
      </c>
      <c r="AO6" t="s">
        <v>363</v>
      </c>
      <c r="AP6" t="s">
        <v>364</v>
      </c>
      <c r="AQ6" s="15" t="s">
        <v>365</v>
      </c>
      <c r="AS6" s="15" t="s">
        <v>366</v>
      </c>
      <c r="AU6" s="15" t="s">
        <v>367</v>
      </c>
      <c r="AV6" s="15" t="s">
        <v>368</v>
      </c>
      <c r="AZ6" t="s">
        <v>369</v>
      </c>
      <c r="BB6" s="15" t="s">
        <v>370</v>
      </c>
      <c r="BH6" t="s">
        <v>371</v>
      </c>
      <c r="BI6" s="15" t="s">
        <v>372</v>
      </c>
      <c r="BM6" s="15" t="s">
        <v>373</v>
      </c>
      <c r="BO6" t="s">
        <v>374</v>
      </c>
      <c r="BP6" s="15" t="s">
        <v>375</v>
      </c>
      <c r="BS6" t="s">
        <v>376</v>
      </c>
      <c r="BX6" t="s">
        <v>377</v>
      </c>
      <c r="CA6" t="s">
        <v>378</v>
      </c>
      <c r="CH6" t="s">
        <v>379</v>
      </c>
      <c r="CI6" t="s">
        <v>380</v>
      </c>
      <c r="CJ6" t="s">
        <v>381</v>
      </c>
      <c r="CK6" t="s">
        <v>382</v>
      </c>
      <c r="CO6" t="s">
        <v>383</v>
      </c>
      <c r="CQ6" t="s">
        <v>384</v>
      </c>
      <c r="CS6" t="s">
        <v>385</v>
      </c>
      <c r="CT6" t="s">
        <v>386</v>
      </c>
      <c r="CU6" t="s">
        <v>387</v>
      </c>
    </row>
    <row r="7" spans="1:99" ht="15" customHeight="1" x14ac:dyDescent="0.25">
      <c r="A7" t="s">
        <v>388</v>
      </c>
      <c r="C7" t="s">
        <v>389</v>
      </c>
      <c r="D7" t="s">
        <v>390</v>
      </c>
      <c r="E7" t="s">
        <v>391</v>
      </c>
      <c r="G7" t="s">
        <v>392</v>
      </c>
      <c r="H7" t="s">
        <v>393</v>
      </c>
      <c r="K7" t="s">
        <v>394</v>
      </c>
      <c r="O7" t="s">
        <v>395</v>
      </c>
      <c r="Q7" t="s">
        <v>396</v>
      </c>
      <c r="S7" t="s">
        <v>397</v>
      </c>
      <c r="U7" t="s">
        <v>398</v>
      </c>
      <c r="X7" t="s">
        <v>399</v>
      </c>
      <c r="Z7" t="s">
        <v>400</v>
      </c>
      <c r="AC7" t="s">
        <v>401</v>
      </c>
      <c r="AE7" t="s">
        <v>402</v>
      </c>
      <c r="AG7" t="s">
        <v>403</v>
      </c>
      <c r="AI7" t="s">
        <v>404</v>
      </c>
      <c r="AM7" t="s">
        <v>405</v>
      </c>
      <c r="AO7" t="s">
        <v>406</v>
      </c>
      <c r="AP7" t="s">
        <v>407</v>
      </c>
      <c r="AQ7" s="15" t="s">
        <v>408</v>
      </c>
      <c r="AS7" s="15" t="s">
        <v>409</v>
      </c>
      <c r="AU7" s="15" t="s">
        <v>410</v>
      </c>
      <c r="AV7" s="15" t="s">
        <v>411</v>
      </c>
      <c r="AZ7" t="s">
        <v>412</v>
      </c>
      <c r="BB7" s="15" t="s">
        <v>413</v>
      </c>
      <c r="BM7" s="15" t="s">
        <v>414</v>
      </c>
      <c r="BO7" t="s">
        <v>415</v>
      </c>
      <c r="BW7" t="s">
        <v>416</v>
      </c>
      <c r="BX7" t="s">
        <v>417</v>
      </c>
      <c r="BY7" t="s">
        <v>418</v>
      </c>
      <c r="CF7" t="s">
        <v>419</v>
      </c>
      <c r="CH7" t="s">
        <v>420</v>
      </c>
      <c r="CI7" t="s">
        <v>421</v>
      </c>
      <c r="CJ7" t="s">
        <v>422</v>
      </c>
      <c r="CO7" t="s">
        <v>423</v>
      </c>
      <c r="CQ7" t="s">
        <v>424</v>
      </c>
      <c r="CS7" t="s">
        <v>425</v>
      </c>
      <c r="CT7" t="s">
        <v>426</v>
      </c>
      <c r="CU7" t="s">
        <v>427</v>
      </c>
    </row>
    <row r="8" spans="1:99" ht="15" customHeight="1" x14ac:dyDescent="0.25">
      <c r="A8" t="s">
        <v>428</v>
      </c>
      <c r="C8" t="s">
        <v>429</v>
      </c>
      <c r="D8" t="s">
        <v>430</v>
      </c>
      <c r="E8" t="s">
        <v>431</v>
      </c>
      <c r="G8" t="s">
        <v>432</v>
      </c>
      <c r="H8" t="s">
        <v>433</v>
      </c>
      <c r="K8" t="s">
        <v>434</v>
      </c>
      <c r="O8" t="s">
        <v>435</v>
      </c>
      <c r="Q8" t="s">
        <v>436</v>
      </c>
      <c r="S8" t="s">
        <v>437</v>
      </c>
      <c r="U8" t="s">
        <v>438</v>
      </c>
      <c r="X8" t="s">
        <v>439</v>
      </c>
      <c r="Z8" t="s">
        <v>440</v>
      </c>
      <c r="AC8" t="s">
        <v>441</v>
      </c>
      <c r="AE8" t="s">
        <v>442</v>
      </c>
      <c r="AG8" t="s">
        <v>443</v>
      </c>
      <c r="AI8" t="s">
        <v>444</v>
      </c>
      <c r="AM8" t="s">
        <v>445</v>
      </c>
      <c r="AO8" t="s">
        <v>446</v>
      </c>
      <c r="AQ8" s="15" t="s">
        <v>447</v>
      </c>
      <c r="AS8" s="15" t="s">
        <v>448</v>
      </c>
      <c r="AU8" s="15" t="s">
        <v>449</v>
      </c>
      <c r="AV8" s="15" t="s">
        <v>450</v>
      </c>
      <c r="BB8" s="15" t="s">
        <v>451</v>
      </c>
      <c r="BM8" s="15" t="s">
        <v>452</v>
      </c>
      <c r="BO8" t="s">
        <v>453</v>
      </c>
      <c r="BY8" t="s">
        <v>454</v>
      </c>
      <c r="CF8" t="s">
        <v>455</v>
      </c>
      <c r="CH8" t="s">
        <v>456</v>
      </c>
      <c r="CI8" t="s">
        <v>457</v>
      </c>
      <c r="CJ8" t="s">
        <v>458</v>
      </c>
      <c r="CK8" t="s">
        <v>459</v>
      </c>
      <c r="CO8" t="s">
        <v>460</v>
      </c>
      <c r="CQ8" t="s">
        <v>461</v>
      </c>
      <c r="CS8" t="s">
        <v>462</v>
      </c>
      <c r="CT8" t="s">
        <v>463</v>
      </c>
      <c r="CU8" t="s">
        <v>464</v>
      </c>
    </row>
    <row r="9" spans="1:99" ht="15" customHeight="1" x14ac:dyDescent="0.25">
      <c r="A9" t="s">
        <v>465</v>
      </c>
      <c r="D9" t="s">
        <v>466</v>
      </c>
      <c r="E9" t="s">
        <v>467</v>
      </c>
      <c r="G9" t="s">
        <v>468</v>
      </c>
      <c r="K9" t="s">
        <v>469</v>
      </c>
      <c r="O9" t="s">
        <v>470</v>
      </c>
      <c r="Q9" t="s">
        <v>471</v>
      </c>
      <c r="S9" t="s">
        <v>472</v>
      </c>
      <c r="U9" t="s">
        <v>473</v>
      </c>
      <c r="X9" t="s">
        <v>474</v>
      </c>
      <c r="Z9" t="s">
        <v>475</v>
      </c>
      <c r="AE9" t="s">
        <v>476</v>
      </c>
      <c r="AI9" t="s">
        <v>477</v>
      </c>
      <c r="AM9" t="s">
        <v>478</v>
      </c>
      <c r="AO9" t="s">
        <v>479</v>
      </c>
      <c r="AS9" s="15" t="s">
        <v>480</v>
      </c>
      <c r="AU9" s="15" t="s">
        <v>481</v>
      </c>
      <c r="AV9" s="15" t="s">
        <v>482</v>
      </c>
      <c r="BB9" s="15" t="s">
        <v>483</v>
      </c>
      <c r="BM9" s="15" t="s">
        <v>484</v>
      </c>
      <c r="BX9" t="s">
        <v>485</v>
      </c>
      <c r="BY9" t="s">
        <v>486</v>
      </c>
      <c r="CF9" t="s">
        <v>487</v>
      </c>
      <c r="CH9" t="s">
        <v>488</v>
      </c>
      <c r="CI9" t="s">
        <v>489</v>
      </c>
      <c r="CK9" t="s">
        <v>490</v>
      </c>
      <c r="CO9" t="s">
        <v>491</v>
      </c>
      <c r="CQ9" t="s">
        <v>492</v>
      </c>
      <c r="CS9" t="s">
        <v>493</v>
      </c>
      <c r="CT9" t="s">
        <v>494</v>
      </c>
      <c r="CU9" t="s">
        <v>495</v>
      </c>
    </row>
    <row r="10" spans="1:99" ht="15" customHeight="1" x14ac:dyDescent="0.25">
      <c r="A10" t="s">
        <v>496</v>
      </c>
      <c r="D10" t="s">
        <v>497</v>
      </c>
      <c r="E10" t="s">
        <v>498</v>
      </c>
      <c r="K10" t="s">
        <v>499</v>
      </c>
      <c r="AI10" t="s">
        <v>500</v>
      </c>
      <c r="AS10" s="15" t="s">
        <v>501</v>
      </c>
      <c r="BB10" s="15" t="s">
        <v>502</v>
      </c>
      <c r="BY10" t="s">
        <v>503</v>
      </c>
      <c r="CB10" t="s">
        <v>504</v>
      </c>
      <c r="CF10" t="s">
        <v>505</v>
      </c>
      <c r="CH10" t="s">
        <v>506</v>
      </c>
      <c r="CI10" t="s">
        <v>507</v>
      </c>
      <c r="CJ10" t="s">
        <v>508</v>
      </c>
      <c r="CQ10" t="s">
        <v>509</v>
      </c>
      <c r="CS10" t="s">
        <v>510</v>
      </c>
      <c r="CT10" t="s">
        <v>511</v>
      </c>
      <c r="CU10" t="s">
        <v>512</v>
      </c>
    </row>
    <row r="11" spans="1:99" ht="15" customHeight="1" x14ac:dyDescent="0.25">
      <c r="A11" t="s">
        <v>513</v>
      </c>
      <c r="D11" t="s">
        <v>514</v>
      </c>
      <c r="K11" t="s">
        <v>515</v>
      </c>
      <c r="AI11" t="s">
        <v>516</v>
      </c>
      <c r="BU11" t="s">
        <v>517</v>
      </c>
      <c r="BX11" t="s">
        <v>518</v>
      </c>
      <c r="BY11" t="s">
        <v>519</v>
      </c>
      <c r="CH11" t="s">
        <v>520</v>
      </c>
      <c r="CI11" t="s">
        <v>521</v>
      </c>
      <c r="CK11" t="s">
        <v>522</v>
      </c>
      <c r="CQ11" t="s">
        <v>523</v>
      </c>
      <c r="CS11" t="s">
        <v>524</v>
      </c>
      <c r="CT11" t="s">
        <v>525</v>
      </c>
      <c r="CU11" t="s">
        <v>526</v>
      </c>
    </row>
    <row r="12" spans="1:99" ht="15" customHeight="1" x14ac:dyDescent="0.25">
      <c r="CJ12" t="s">
        <v>527</v>
      </c>
      <c r="CK12" t="s">
        <v>528</v>
      </c>
    </row>
    <row r="13" spans="1:99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D3F9-35BC-49D2-AD4A-DF47738DF417}">
  <dimension ref="A1:M8"/>
  <sheetViews>
    <sheetView workbookViewId="0">
      <selection activeCell="H8" sqref="H8"/>
    </sheetView>
  </sheetViews>
  <sheetFormatPr defaultRowHeight="15" x14ac:dyDescent="0.25"/>
  <sheetData>
    <row r="1" spans="1:13" x14ac:dyDescent="0.25">
      <c r="A1" s="16" t="s">
        <v>532</v>
      </c>
      <c r="B1" s="17"/>
      <c r="C1" s="18">
        <f>COUNTIF(AHL_DAT_STRING!4:18,"&lt;&gt;")</f>
        <v>338</v>
      </c>
    </row>
    <row r="2" spans="1:13" ht="15.75" thickBot="1" x14ac:dyDescent="0.3">
      <c r="A2" s="19" t="s">
        <v>533</v>
      </c>
      <c r="B2" s="20"/>
      <c r="C2" s="21">
        <f>C1*4</f>
        <v>1352</v>
      </c>
    </row>
    <row r="3" spans="1:13" x14ac:dyDescent="0.25">
      <c r="A3" s="22" t="s">
        <v>533</v>
      </c>
      <c r="B3" s="23">
        <f>COUNTIF(redn!4:60, "&lt;&gt;")</f>
        <v>1361</v>
      </c>
    </row>
    <row r="4" spans="1:13" ht="15.75" thickBot="1" x14ac:dyDescent="0.3">
      <c r="A4" s="24" t="s">
        <v>534</v>
      </c>
      <c r="B4" s="25">
        <f>SUMIF(redn!2:2,"sl",redn!1:1)</f>
        <v>159</v>
      </c>
      <c r="F4" t="s">
        <v>535</v>
      </c>
      <c r="G4" t="s">
        <v>536</v>
      </c>
      <c r="H4" t="s">
        <v>537</v>
      </c>
      <c r="I4" t="s">
        <v>538</v>
      </c>
      <c r="J4" t="s">
        <v>539</v>
      </c>
      <c r="K4" t="s">
        <v>540</v>
      </c>
      <c r="L4" t="s">
        <v>541</v>
      </c>
      <c r="M4" t="s">
        <v>542</v>
      </c>
    </row>
    <row r="5" spans="1:13" ht="15.75" thickBot="1" x14ac:dyDescent="0.3">
      <c r="A5" s="24" t="s">
        <v>531</v>
      </c>
      <c r="B5" s="25">
        <f>SUMIF(redn!2:2,"it",redn!1:1)</f>
        <v>483</v>
      </c>
      <c r="F5" s="26" t="s">
        <v>543</v>
      </c>
      <c r="G5" s="27">
        <v>1</v>
      </c>
      <c r="H5" s="28">
        <f>G5/17</f>
        <v>5.8823529411764705E-2</v>
      </c>
      <c r="I5" s="29">
        <f>(B4)/B3</f>
        <v>0.11682586333578251</v>
      </c>
      <c r="J5" s="30">
        <f>C2*H5</f>
        <v>79.529411764705884</v>
      </c>
      <c r="K5">
        <f>B4</f>
        <v>159</v>
      </c>
      <c r="L5" s="31">
        <f>K5-J5</f>
        <v>79.470588235294116</v>
      </c>
      <c r="M5" s="32">
        <f>L5/4</f>
        <v>19.867647058823529</v>
      </c>
    </row>
    <row r="6" spans="1:13" ht="15.75" thickBot="1" x14ac:dyDescent="0.3">
      <c r="A6" s="33" t="s">
        <v>530</v>
      </c>
      <c r="B6" s="25">
        <f>SUMIF(redn!2:2,"au",redn!1:1)</f>
        <v>709</v>
      </c>
      <c r="F6" s="34" t="s">
        <v>544</v>
      </c>
      <c r="G6" s="35">
        <v>7</v>
      </c>
      <c r="H6" s="36">
        <f>G6/17</f>
        <v>0.41176470588235292</v>
      </c>
      <c r="I6" s="37">
        <f>B5/B3</f>
        <v>0.35488611315209406</v>
      </c>
      <c r="J6" s="30">
        <f>C2*H6</f>
        <v>556.7058823529411</v>
      </c>
      <c r="K6">
        <f>B5</f>
        <v>483</v>
      </c>
      <c r="L6" s="31">
        <f>K6-J6</f>
        <v>-73.705882352941103</v>
      </c>
      <c r="M6" s="32">
        <f>L6/4</f>
        <v>-18.426470588235276</v>
      </c>
    </row>
    <row r="7" spans="1:13" ht="15.75" thickBot="1" x14ac:dyDescent="0.3">
      <c r="F7" s="34" t="s">
        <v>545</v>
      </c>
      <c r="G7" s="35">
        <v>9</v>
      </c>
      <c r="H7" s="36">
        <f>G7/17</f>
        <v>0.52941176470588236</v>
      </c>
      <c r="I7" s="37">
        <f>B6/B3</f>
        <v>0.52094048493754597</v>
      </c>
      <c r="J7" s="30">
        <f>C2*H7</f>
        <v>715.76470588235293</v>
      </c>
      <c r="K7">
        <f>B6</f>
        <v>709</v>
      </c>
      <c r="L7" s="38">
        <f>K7-J7</f>
        <v>-6.7647058823529278</v>
      </c>
      <c r="M7" s="32">
        <f>L7/4</f>
        <v>-1.691176470588232</v>
      </c>
    </row>
    <row r="8" spans="1:13" x14ac:dyDescent="0.25">
      <c r="A8" t="s">
        <v>546</v>
      </c>
      <c r="B8">
        <f>SUM(B4:B6)</f>
        <v>1351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AHL</vt:lpstr>
      <vt:lpstr>redn</vt:lpstr>
      <vt:lpstr>AHL_DAT</vt:lpstr>
      <vt:lpstr>AHL_DAT_STRING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2024-11-22T11:56:47Z</dcterms:modified>
</cp:coreProperties>
</file>