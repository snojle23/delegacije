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09BEB4A4-437B-460E-B4A8-13B67CDA54F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  <sheet name="Sheet1" sheetId="6" r:id="rId5"/>
    <sheet name="Sheet2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Y1" i="1"/>
  <c r="AG1" i="1"/>
  <c r="AK1" i="1"/>
  <c r="AV1" i="1"/>
  <c r="AL1" i="1"/>
  <c r="AH1" i="1"/>
  <c r="C4" i="5" s="1"/>
  <c r="AO1" i="1"/>
  <c r="AI1" i="1"/>
  <c r="BC1" i="1"/>
  <c r="AY1" i="1"/>
  <c r="V1" i="1"/>
  <c r="P1" i="1"/>
  <c r="H1" i="1"/>
  <c r="M1" i="1"/>
  <c r="Q1" i="1"/>
  <c r="AM1" i="1"/>
  <c r="L1" i="1"/>
  <c r="Z1" i="1"/>
  <c r="W1" i="1"/>
  <c r="AA1" i="1"/>
  <c r="R1" i="1"/>
  <c r="A1" i="1"/>
  <c r="N1" i="1"/>
  <c r="S1" i="1"/>
  <c r="O1" i="1"/>
  <c r="AP1" i="1"/>
  <c r="B6" i="5" s="1"/>
  <c r="J8" i="5" s="1"/>
  <c r="AR1" i="1"/>
  <c r="BA1" i="1"/>
  <c r="BB1" i="1"/>
  <c r="AB1" i="1"/>
  <c r="AS1" i="1"/>
  <c r="C1" i="1"/>
  <c r="I1" i="1"/>
  <c r="AF1" i="1"/>
  <c r="B1" i="1"/>
  <c r="F1" i="1"/>
  <c r="AD1" i="1"/>
  <c r="AE1" i="1"/>
  <c r="D1" i="1"/>
  <c r="J1" i="1"/>
  <c r="K1" i="1"/>
  <c r="T1" i="1"/>
  <c r="AC1" i="1"/>
  <c r="E1" i="1"/>
  <c r="AN1" i="1"/>
  <c r="C7" i="5" s="1"/>
  <c r="AT1" i="1"/>
  <c r="AQ1" i="1"/>
  <c r="AU1" i="1"/>
  <c r="AJ1" i="1"/>
  <c r="AX1" i="1"/>
  <c r="AW1" i="1"/>
  <c r="BD1" i="1"/>
  <c r="BE1" i="1"/>
  <c r="AZ1" i="1"/>
  <c r="BF1" i="1"/>
  <c r="BG1" i="1"/>
  <c r="BH1" i="1"/>
  <c r="BI1" i="1"/>
  <c r="X1" i="1"/>
  <c r="U1" i="1"/>
  <c r="G17" i="5"/>
  <c r="F17" i="5"/>
  <c r="H17" i="5" s="1"/>
  <c r="H16" i="5"/>
  <c r="H15" i="5"/>
  <c r="H14" i="5"/>
  <c r="G9" i="5"/>
  <c r="G8" i="5"/>
  <c r="G7" i="5"/>
  <c r="G6" i="5"/>
  <c r="C6" i="5"/>
  <c r="G5" i="5"/>
  <c r="B5" i="5"/>
  <c r="J6" i="5" s="1"/>
  <c r="B3" i="5"/>
  <c r="J17" i="5" s="1"/>
  <c r="C1" i="5"/>
  <c r="C2" i="5" s="1"/>
  <c r="B7" i="5" l="1"/>
  <c r="J9" i="5" s="1"/>
  <c r="K9" i="5" s="1"/>
  <c r="L9" i="5" s="1"/>
  <c r="B4" i="5"/>
  <c r="H5" i="5" s="1"/>
  <c r="C8" i="5"/>
  <c r="I8" i="5"/>
  <c r="K8" i="5" s="1"/>
  <c r="L8" i="5" s="1"/>
  <c r="I6" i="5"/>
  <c r="I9" i="5"/>
  <c r="I7" i="5"/>
  <c r="I11" i="5" s="1"/>
  <c r="I5" i="5"/>
  <c r="K6" i="5"/>
  <c r="L6" i="5" s="1"/>
  <c r="J7" i="5"/>
  <c r="B13" i="5"/>
  <c r="J15" i="5"/>
  <c r="H6" i="5"/>
  <c r="H8" i="5"/>
  <c r="H9" i="5" l="1"/>
  <c r="J14" i="5"/>
  <c r="J16" i="5"/>
  <c r="B9" i="5"/>
  <c r="H7" i="5"/>
  <c r="J5" i="5"/>
  <c r="J11" i="5"/>
  <c r="K7" i="5"/>
  <c r="K5" i="5"/>
  <c r="L5" i="5" s="1"/>
  <c r="K11" i="5" l="1"/>
  <c r="L7" i="5"/>
  <c r="L11" i="5" s="1"/>
</calcChain>
</file>

<file path=xl/sharedStrings.xml><?xml version="1.0" encoding="utf-8"?>
<sst xmlns="http://schemas.openxmlformats.org/spreadsheetml/2006/main" count="2967" uniqueCount="455">
  <si>
    <t>sl</t>
  </si>
  <si>
    <t>it</t>
  </si>
  <si>
    <t>au</t>
  </si>
  <si>
    <t>BulovecMi</t>
  </si>
  <si>
    <t>SnojTa</t>
  </si>
  <si>
    <t>BergantAn</t>
  </si>
  <si>
    <t>LebenJa</t>
  </si>
  <si>
    <t>MiklicGr</t>
  </si>
  <si>
    <t>JeramFi</t>
  </si>
  <si>
    <t>MetzingerFi</t>
  </si>
  <si>
    <t>ArlicMa</t>
  </si>
  <si>
    <t>MurnikPe</t>
  </si>
  <si>
    <t>MarkizetiGr</t>
  </si>
  <si>
    <t>BajtMi</t>
  </si>
  <si>
    <t>BergeljNi</t>
  </si>
  <si>
    <t>MoschenAn</t>
  </si>
  <si>
    <t>StefenelliFe</t>
  </si>
  <si>
    <t>AbeltinoSi</t>
  </si>
  <si>
    <t>BrondiPa</t>
  </si>
  <si>
    <t>PinieOm</t>
  </si>
  <si>
    <t>VirtaTu</t>
  </si>
  <si>
    <t>CusinFe</t>
  </si>
  <si>
    <t>FecchioFe</t>
  </si>
  <si>
    <t>BrondiMa</t>
  </si>
  <si>
    <t>RivisFe</t>
  </si>
  <si>
    <t>BenvegnuAn</t>
  </si>
  <si>
    <t>IlmerNo</t>
  </si>
  <si>
    <t>LazzeriAl</t>
  </si>
  <si>
    <t>GrisentiLu</t>
  </si>
  <si>
    <t>CristeliMa</t>
  </si>
  <si>
    <t>RivisAn</t>
  </si>
  <si>
    <t>GiacomozziFe</t>
  </si>
  <si>
    <t>FleischmannLu</t>
  </si>
  <si>
    <t>SoraperraSi</t>
  </si>
  <si>
    <t>CalloviniAn</t>
  </si>
  <si>
    <t>PirasAn</t>
  </si>
  <si>
    <t>RuetzMa</t>
  </si>
  <si>
    <t>WinklerDa</t>
  </si>
  <si>
    <t>DivisDo</t>
  </si>
  <si>
    <t>WendnerMa</t>
  </si>
  <si>
    <t>Huber rRe</t>
  </si>
  <si>
    <t>StrimitzerDa</t>
  </si>
  <si>
    <t>BrockAd</t>
  </si>
  <si>
    <t>PreiserJu</t>
  </si>
  <si>
    <t>UnterwegerDo</t>
  </si>
  <si>
    <t>WuchererGe</t>
  </si>
  <si>
    <t>RinkerDa</t>
  </si>
  <si>
    <t>VeselkaMa</t>
  </si>
  <si>
    <t>SpiegelSe</t>
  </si>
  <si>
    <t>OrelSt</t>
  </si>
  <si>
    <t>HolzerTo</t>
  </si>
  <si>
    <t>Steiner fFe</t>
  </si>
  <si>
    <t>HlavatyAl</t>
  </si>
  <si>
    <t>VoicanCh</t>
  </si>
  <si>
    <t>LegatKo</t>
  </si>
  <si>
    <t>ZacherlPa</t>
  </si>
  <si>
    <t>SeewaldJe</t>
  </si>
  <si>
    <t>WidmannFl</t>
  </si>
  <si>
    <t>MoidlMa</t>
  </si>
  <si>
    <t>Dummermuth-haasEl</t>
  </si>
  <si>
    <t>KeldererMo</t>
  </si>
  <si>
    <t>MoidlDa</t>
  </si>
  <si>
    <t>MattheyPh</t>
  </si>
  <si>
    <t>SparerDa</t>
  </si>
  <si>
    <t>2025-09-26</t>
  </si>
  <si>
    <t>2025-09-27</t>
  </si>
  <si>
    <t>2025-10-02</t>
  </si>
  <si>
    <t>2025-10-14</t>
  </si>
  <si>
    <t>2025-10-16</t>
  </si>
  <si>
    <t>2025-09-20</t>
  </si>
  <si>
    <t>2025-09-21</t>
  </si>
  <si>
    <t>2025-10-11</t>
  </si>
  <si>
    <t>2025-10-18</t>
  </si>
  <si>
    <t>2025-12-04</t>
  </si>
  <si>
    <t>2025-09-25</t>
  </si>
  <si>
    <t>2025-10-04</t>
  </si>
  <si>
    <t>2025-10-25</t>
  </si>
  <si>
    <t>2025-10-23</t>
  </si>
  <si>
    <t>2025-10-28</t>
  </si>
  <si>
    <t>2025-12-30</t>
  </si>
  <si>
    <t>2026-02-21</t>
  </si>
  <si>
    <t>2025-11-20</t>
  </si>
  <si>
    <t>2025-10-07</t>
  </si>
  <si>
    <t>2025-12-22</t>
  </si>
  <si>
    <t>2025-10-01</t>
  </si>
  <si>
    <t>2025-10-09</t>
  </si>
  <si>
    <t>2025-11-18</t>
  </si>
  <si>
    <t>2025-11-14</t>
  </si>
  <si>
    <t>2025-11-27</t>
  </si>
  <si>
    <t>2025-11-22</t>
  </si>
  <si>
    <t>2025-12-18</t>
  </si>
  <si>
    <t>2025-11-01</t>
  </si>
  <si>
    <t>2025-10-31</t>
  </si>
  <si>
    <t>2026-01-22</t>
  </si>
  <si>
    <t>2025-10-10</t>
  </si>
  <si>
    <t>2025-10-17</t>
  </si>
  <si>
    <t>2025-10-30</t>
  </si>
  <si>
    <t>2025-12-06</t>
  </si>
  <si>
    <t>2025-11-29</t>
  </si>
  <si>
    <t>2026-01-02</t>
  </si>
  <si>
    <t>2025-12-26</t>
  </si>
  <si>
    <t>2026-01-06</t>
  </si>
  <si>
    <t>2025-11-13</t>
  </si>
  <si>
    <t>2026-02-24</t>
  </si>
  <si>
    <t>2025-11-15</t>
  </si>
  <si>
    <t>2025-12-20</t>
  </si>
  <si>
    <t>2026-01-31</t>
  </si>
  <si>
    <t>2026-02-19</t>
  </si>
  <si>
    <t>2025-10-26</t>
  </si>
  <si>
    <t>2025-11-12</t>
  </si>
  <si>
    <t>2026-01-04</t>
  </si>
  <si>
    <t>2026-02-07</t>
  </si>
  <si>
    <t>2025-11-08</t>
  </si>
  <si>
    <t>2025-11-25</t>
  </si>
  <si>
    <t>2025-11-09</t>
  </si>
  <si>
    <t>2026-01-24</t>
  </si>
  <si>
    <t>2026-02-05</t>
  </si>
  <si>
    <t>2025-11-07</t>
  </si>
  <si>
    <t>2025-11-23</t>
  </si>
  <si>
    <t>2025-11-05</t>
  </si>
  <si>
    <t>2025-10-29</t>
  </si>
  <si>
    <t>2025-12-13</t>
  </si>
  <si>
    <t>2026-01-29</t>
  </si>
  <si>
    <t>2025-12-16</t>
  </si>
  <si>
    <t>2026-02-04</t>
  </si>
  <si>
    <t>2026-01-08</t>
  </si>
  <si>
    <t>2025-11-11</t>
  </si>
  <si>
    <t>2025-11-30</t>
  </si>
  <si>
    <t>2025-12-28</t>
  </si>
  <si>
    <t>2026-02-17</t>
  </si>
  <si>
    <t>2025-12-07</t>
  </si>
  <si>
    <t>2025-11-28</t>
  </si>
  <si>
    <t>2025-11-26</t>
  </si>
  <si>
    <t>2026-02-28</t>
  </si>
  <si>
    <t>2025-12-03</t>
  </si>
  <si>
    <t>2026-01-17</t>
  </si>
  <si>
    <t>2026-01-10</t>
  </si>
  <si>
    <t>2026-01-27</t>
  </si>
  <si>
    <t>2025-12-10</t>
  </si>
  <si>
    <t>2026-02-26</t>
  </si>
  <si>
    <t>2026-03-07</t>
  </si>
  <si>
    <t>2026-01-14</t>
  </si>
  <si>
    <t>2026-02-25</t>
  </si>
  <si>
    <t>2026-02-01</t>
  </si>
  <si>
    <t>2026-01-20</t>
  </si>
  <si>
    <t>2026-03-03</t>
  </si>
  <si>
    <t>2026-02-10</t>
  </si>
  <si>
    <t>2026-01-11</t>
  </si>
  <si>
    <t>2026-03-05</t>
  </si>
  <si>
    <t>2026-02-14</t>
  </si>
  <si>
    <t>2026-02-12</t>
  </si>
  <si>
    <t>Eishalle Ritten;MoschenAn;StefenelliFe;AbeltinoSi;BrondiPa</t>
  </si>
  <si>
    <t>Eishalle Meran;BenvegnuAn;RivisFe;BrondiMa;RivisAn</t>
  </si>
  <si>
    <t>Eishalle Jesenice;BulovecMi;UnterwegerDo;MiklicGr;WuchererGe</t>
  </si>
  <si>
    <t>Eishalle Ritten;MoschenAn;PinieOm;BrondiPa;IlmerNo</t>
  </si>
  <si>
    <t>Eisarena Salzburg;OrelSt;SpiegelSe;RinkerDa;WuchererGe</t>
  </si>
  <si>
    <t>Eishalle Dornbirn;HolzerTo;WinklerDa;DivisDo;RinkerDa</t>
  </si>
  <si>
    <t>Eishalle Sissek Zibel;MetzingerFi;SnojTa;MiklicGr;MurnikPe</t>
  </si>
  <si>
    <t>Eishalle Sterzing;BulovecMi;LazzeriAl;ArlicMa;BrondiPa</t>
  </si>
  <si>
    <t>Eishalle Jesenice;BrockAd;SnojTa;JeramFi;VeselkaMa</t>
  </si>
  <si>
    <t>Eishalle Sissek Zibel;MetzingerFi;UnterwegerDo;LegatKo;WuchererGe</t>
  </si>
  <si>
    <t>Eishalle Ritten;LazzeriAl;OrelSt;BrondiPa;FleischmannLu</t>
  </si>
  <si>
    <t>Eisarena Salzburg;HlavatyAl;VoicanCh;LegatKo;WendnerMa</t>
  </si>
  <si>
    <t>Eisarena Salzburg;Huber rRe;OrelSt;DivisDo;WuchererGe</t>
  </si>
  <si>
    <t>Sportpark Kitzbühel;BulovecMi;SnojTa;BergeljNi;StrimitzerDa</t>
  </si>
  <si>
    <t>Eisarena Salzburg;VoicanCh;WinklerDa;PreiserJu;RinkerDa</t>
  </si>
  <si>
    <t>Eishalle Ritten;PirasAn;SoraperraSi;AbeltinoSi;CusinFe</t>
  </si>
  <si>
    <t>Eishalle Gröden;MoschenAn;RivisFe;FecchioFe;IlmerNo</t>
  </si>
  <si>
    <t>Eishalle Sissek Zibel;BrockAd;SnojTa;PreiserJu;VeselkaMa</t>
  </si>
  <si>
    <t>Eishalle Cortina;LebenJa;WinklerDa;FleischmannLu;MarkizetiGr</t>
  </si>
  <si>
    <t>Eisarena Salzburg;RuetzMa;VoicanCh;PreiserJu;RinkerDa</t>
  </si>
  <si>
    <t>KELIT Arena Zell am See;Huber rRe;WinklerDa;MoidlMa;Steiner fFe</t>
  </si>
  <si>
    <t>Eisarena Salzburg;Huber rRe;SpiegelSe;Dummermuth-haasEl;StrimitzerDa</t>
  </si>
  <si>
    <t>Eishalle Sissek Zibel;MetzingerFi;UnterwegerDo;ArlicMa;MiklicGr</t>
  </si>
  <si>
    <t>Würtharena Neumarkt;MoschenAn;OrelSt;BrondiPa;WuchererGe</t>
  </si>
  <si>
    <t>Eishalle Dornbirn;BrockAd;WinklerDa;IlmerNo;VeselkaMa</t>
  </si>
  <si>
    <t>Eishalle Meran;BergantAn;BulovecMi;ArlicMa;MarkizetiGr</t>
  </si>
  <si>
    <t>Eishalle Gröden;GiacomozziFe;LazzeriAl;BrondiMa;FecchioFe</t>
  </si>
  <si>
    <t>Eishalle Sterzing;OrelSt;VirtaTu;LegatKo;WuchererGe</t>
  </si>
  <si>
    <t>Eishalle Asiago;BenvegnuAn;MoschenAn;AbeltinoSi;GrisentiLu</t>
  </si>
  <si>
    <t>Eishalle Dornbirn;HolzerTo;Huber rRe;StrimitzerDa;VeselkaMa</t>
  </si>
  <si>
    <t>Eishalle Jesenice;BulovecMi;WidmannFl;WendnerMa;WuchererGe</t>
  </si>
  <si>
    <t>Eishalle Ritten;GiacomozziFe;MoschenAn;BrondiPa;CusinFe</t>
  </si>
  <si>
    <t>Eisarena Salzburg;OrelSt;UnterwegerDo;SeewaldJe;WuchererGe</t>
  </si>
  <si>
    <t>Eishalle Jesenice;MetzingerFi;VoicanCh;LegatKo;MarkizetiGr</t>
  </si>
  <si>
    <t>Eishalle Ritten;GiacomozziFe;RuetzMa;Steiner fFe;VeselkaMa</t>
  </si>
  <si>
    <t>Eishalle Dornbirn;OrelSt;UnterwegerDo;StrimitzerDa;WuchererGe</t>
  </si>
  <si>
    <t>Eisarena Salzburg;BrockAd;VoicanCh;VeselkaMa;WendnerMa</t>
  </si>
  <si>
    <t>Eishalle Dornbirn;Huber rRe;WinklerDa;DivisDo;RinkerDa</t>
  </si>
  <si>
    <t>Eishalle Sissek Zibel;MetzingerFi;SnojTa;ArlicMa;MiklicGr</t>
  </si>
  <si>
    <t>Eishalle Meran;PinieOm;UnterwegerDo;CristeliMa;GrisentiLu</t>
  </si>
  <si>
    <t>Eishalle Jesenice;BrockAd;HlavatyAl;LegatKo;PreiserJu</t>
  </si>
  <si>
    <t>Eishalle Sterzing;OrelSt;UnterwegerDo;CristeliMa;WuchererGe</t>
  </si>
  <si>
    <t>Eishalle Dornbirn;SpiegelSe;WinklerDa;DivisDo;RinkerDa</t>
  </si>
  <si>
    <t>Eishalle Gröden;MoschenAn;PirasAn;CalloviniAn;StrimitzerDa</t>
  </si>
  <si>
    <t>Eishalle Sterzing;GiacomozziFe;LazzeriAl;AbeltinoSi;RivisAn</t>
  </si>
  <si>
    <t>Eishalle Cortina;PinieOm;StefenelliFe;CusinFe;GrisentiLu</t>
  </si>
  <si>
    <t>Eishalle Meran;LazzeriAl;MoschenAn;CusinFe;RivisAn</t>
  </si>
  <si>
    <t>Eisarena Salzburg;UnterwegerDo;VoicanCh;LegatKo;WuchererGe</t>
  </si>
  <si>
    <t>Eishalle Sissek Zibel;BergantAn;OrelSt;ArlicMa;WendnerMa</t>
  </si>
  <si>
    <t>Eishalle Sterzing;LazzeriAl;StefenelliFe;CristeliMa;RivisAn</t>
  </si>
  <si>
    <t>Eishalle Meran;OrelSt;UnterwegerDo;AbeltinoSi;FecchioFe</t>
  </si>
  <si>
    <t>Eishalle Dornbirn;Huber rRe;SpiegelSe;DivisDo;RinkerDa</t>
  </si>
  <si>
    <t>Eishalle Jesenice;BulovecMi;OrelSt;ArlicMa;LegatKo</t>
  </si>
  <si>
    <t>Eishalle Sissek Zibel;LebenJa;MetzingerFi;ArlicMa;PreiserJu</t>
  </si>
  <si>
    <t>Eishalle Sterzing;HlavatyAl;HolzerTo;DivisDo;PreiserJu</t>
  </si>
  <si>
    <t>Eisarena Salzburg;UnterwegerDo;WinklerDa;StrimitzerDa;ZacherlPa</t>
  </si>
  <si>
    <t>Eishalle Jesenice;HlavatyAl;UnterwegerDo;ArlicMa;MarkizetiGr</t>
  </si>
  <si>
    <t>Eisarena Salzburg;OrelSt;UnterwegerDo;SeewaldJe;StrimitzerDa</t>
  </si>
  <si>
    <t>Eisarena Salzburg;HlavatyAl;PirasAn;PreiserJu;ZacherlPa</t>
  </si>
  <si>
    <t>Eishalle Jesenice;MetzingerFi;SnojTa;MurnikPe;WuchererGe</t>
  </si>
  <si>
    <t>Eisarena Salzburg;BrockAd;Huber rRe;Steiner fFe;StrimitzerDa</t>
  </si>
  <si>
    <t>Eishalle Gröden;MoschenAn;PirasAn;AbeltinoSi;RivisAn</t>
  </si>
  <si>
    <t>Würtharena Neumarkt;LazzeriAl;VirtaTu;BrondiMa;FecchioFe</t>
  </si>
  <si>
    <t>Eishalle Dornbirn;MoschenAn;WinklerDa;IlmerNo;RinkerDa</t>
  </si>
  <si>
    <t>Eishalle Ritten;BergantAn;Huber rRe;ArlicMa;RinkerDa</t>
  </si>
  <si>
    <t>Eishalle Sissek Zibel;BergantAn;MetzingerFi;JeramFi;WendnerMa</t>
  </si>
  <si>
    <t>Eishalle Sterzing;SpiegelSe;VirtaTu;BrondiPa;FleischmannLu</t>
  </si>
  <si>
    <t>Eisarena Salzburg;HlavatyAl;OrelSt;WuchererGe;ZacherlPa</t>
  </si>
  <si>
    <t>Eishalle Jesenice;BrockAd;LebenJa;BergeljNi;Dummermuth-haasEl</t>
  </si>
  <si>
    <t>Eishalle Sissek Zibel;OrelSt;UnterwegerDo;LegatKo;WuchererGe</t>
  </si>
  <si>
    <t>Eishalle Dornbirn;Huber rRe;SpiegelSe;IlmerNo;SeewaldJe</t>
  </si>
  <si>
    <t>KELIT Arena Zell am See;UnterwegerDo;WinklerDa;Dummermuth-haasEl;StrimitzerDa</t>
  </si>
  <si>
    <t>Eishalle Ritten;PirasAn;StefenelliFe;CusinFe;RivisAn</t>
  </si>
  <si>
    <t>Eishalle Dornbirn;MoschenAn;SpiegelSe;DivisDo;IlmerNo</t>
  </si>
  <si>
    <t>Eishalle Jesenice;BergantAn;OrelSt;VeselkaMa;WendnerMa</t>
  </si>
  <si>
    <t>Eishalle Sterzing;BulovecMi;SnojTa;CusinFe;DivisDo</t>
  </si>
  <si>
    <t>Eishalle Dornbirn;HolzerTo;LazzeriAl;AbeltinoSi;BrondiMa</t>
  </si>
  <si>
    <t>Eishalle Sissek Zibel;LebenJa;VoicanCh;LegatKo;PreiserJu</t>
  </si>
  <si>
    <t>Eishalle Gröden;Huber rRe;StefenelliFe;CalloviniAn;StrimitzerDa</t>
  </si>
  <si>
    <t>Würtharena Neumarkt;PinieOm;VirtaTu;CristeliMa;IlmerNo</t>
  </si>
  <si>
    <t>KELIT Arena Zell am See;BrockAd;Huber rRe;LegatKo;SeewaldJe</t>
  </si>
  <si>
    <t>Sportpark Kitzbühel;Huber rRe;LazzeriAl;GrisentiLu;StrimitzerDa</t>
  </si>
  <si>
    <t>Eishalle Sissek Zibel;BergantAn;MetzingerFi;MarkizetiGr;MiklicGr</t>
  </si>
  <si>
    <t>Eisarena Salzburg;Huber rRe;WinklerDa;StrimitzerDa;VeselkaMa</t>
  </si>
  <si>
    <t>Eisarena Salzburg;HolzerTo;VoicanCh;DivisDo;PreiserJu</t>
  </si>
  <si>
    <t>Würtharena Neumarkt;PinieOm;VirtaTu;CusinFe;FecchioFe</t>
  </si>
  <si>
    <t>Eishalle Sissek Zibel;BergantAn;LebenJa;JeramFi;MiklicGr</t>
  </si>
  <si>
    <t>Sportpark Kitzbühel;HolzerTo;Huber rRe;Steiner fFe;VeselkaMa</t>
  </si>
  <si>
    <t>Würtharena Neumarkt;Huber rRe;WinklerDa;BrondiPa;BrondiMa</t>
  </si>
  <si>
    <t>Eishalle Jesenice;HlavatyAl;VoicanCh;MurnikPe;PreiserJu</t>
  </si>
  <si>
    <t>Eishalle Asiago;MoschenAn;VirtaTu;CristeliMa;FecchioFe</t>
  </si>
  <si>
    <t>Würtharena Neumarkt;GiacomozziFe;StefenelliFe;BrondiMa;FleischmannLu</t>
  </si>
  <si>
    <t>Eishalle Asiago;PinieOm;StefenelliFe;GrisentiLu;IlmerNo</t>
  </si>
  <si>
    <t>Eishalle Ritten;Huber rRe;SpiegelSe;AbeltinoSi;RinkerDa</t>
  </si>
  <si>
    <t>KELIT Arena Zell am See;BenvegnuAn;PinieOm;GrisentiLu;SeewaldJe</t>
  </si>
  <si>
    <t>Würtharena Neumarkt;LazzeriAl;RivisFe;BrondiPa;RivisAn</t>
  </si>
  <si>
    <t>Eishalle Sterzing;BrockAd;UnterwegerDo;VeselkaMa;WuchererGe</t>
  </si>
  <si>
    <t>Eishalle Ritten;PinieOm;RivisFe;GrisentiLu;RivisAn</t>
  </si>
  <si>
    <t>Eishalle Jesenice;MetzingerFi;RivisFe;ArlicMa;BrondiPa</t>
  </si>
  <si>
    <t>KELIT Arena Zell am See;BulovecMi;HlavatyAl;LegatKo;MurnikPe</t>
  </si>
  <si>
    <t>Eishalle Cortina;BergantAn;BulovecMi;ArlicMa;MarkizetiGr</t>
  </si>
  <si>
    <t>Eishalle Cortina;RivisFe;StefenelliFe;CristeliMa;IlmerNo</t>
  </si>
  <si>
    <t>Eishalle Asiago;LazzeriAl;PirasAn;FleischmannLu;IlmerNo</t>
  </si>
  <si>
    <t>Eishalle Sterzing;Huber rRe;PinieOm;CristeliMa;RivisAn</t>
  </si>
  <si>
    <t>KELIT Arena Zell am See;LazzeriAl;LebenJa;AbeltinoSi;ArlicMa</t>
  </si>
  <si>
    <t>Eishalle Gröden;Huber rRe;SpiegelSe;DivisDo;GrisentiLu</t>
  </si>
  <si>
    <t>Eishalle Meran;Huber rRe;SpiegelSe;DivisDo;FleischmannLu</t>
  </si>
  <si>
    <t>Sportpark Kitzbühel;BenvegnuAn;WinklerDa;FecchioFe;MoidlMa</t>
  </si>
  <si>
    <t>KELIT Arena Zell am See;HolzerTo;Huber rRe;MarkizetiGr;SeewaldJe</t>
  </si>
  <si>
    <t>Eishalle Meran;UnterwegerDo;VirtaTu;FleischmannLu;WendnerMa</t>
  </si>
  <si>
    <t>Eishalle Ritten;BenvegnuAn;PinieOm;CristeliMa;FecchioFe</t>
  </si>
  <si>
    <t>Sportpark Kitzbühel;HolzerTo;UnterwegerDo;DivisDo;PreiserJu</t>
  </si>
  <si>
    <t>KELIT Arena Zell am See;BajtMi;SnojTa;MarkizetiGr;VeselkaMa</t>
  </si>
  <si>
    <t>Eishalle Jesenice;LebenJa;VoicanCh;JeramFi;MiklicGr</t>
  </si>
  <si>
    <t>Eishalle Sissek Zibel;BulovecMi;SnojTa;LegatKo;WendnerMa</t>
  </si>
  <si>
    <t>Eishalle Asiago;PinieOm;StefenelliFe;BrondiPa;FecchioFe</t>
  </si>
  <si>
    <t>KELIT Arena Zell am See;OrelSt;UnterwegerDo;StrimitzerDa;WuchererGe</t>
  </si>
  <si>
    <t>Eishalle Meran;GiacomozziFe;PinieOm;CristeliMa;FleischmannLu</t>
  </si>
  <si>
    <t>KELIT Arena Zell am See;KeldererMo;MoidlDa;MattheyPh;MoidlMa</t>
  </si>
  <si>
    <t>Sportpark Kitzbühel;BenvegnuAn;WidmannFl;Dummermuth-haasEl;RivisAn</t>
  </si>
  <si>
    <t>Eishalle Ritten;BulovecMi;SnojTa;BrondiPa;FleischmannLu</t>
  </si>
  <si>
    <t>Würtharena Neumarkt;BenvegnuAn;RivisFe;FecchioFe;FleischmannLu</t>
  </si>
  <si>
    <t>KELIT Arena Zell am See;BulovecMi;VoicanCh;JeramFi;VeselkaMa</t>
  </si>
  <si>
    <t>Eishalle Meran;LazzeriAl;RivisFe;LegatKo;WendnerMa</t>
  </si>
  <si>
    <t>Eishalle Dornbirn;HolzerTo;SpiegelSe;DivisDo;StrimitzerDa</t>
  </si>
  <si>
    <t>Eishalle Asiago;PinieOm;RivisFe;GrisentiLu;IlmerNo</t>
  </si>
  <si>
    <t>Eishalle Jesenice;SnojTa;VoicanCh;MurnikPe;PreiserJu</t>
  </si>
  <si>
    <t>Sportpark Kitzbühel;Huber rRe;UnterwegerDo;RinkerDa;WendnerMa</t>
  </si>
  <si>
    <t>Eishalle Ritten;LazzeriAl;RuetzMa;BrondiMa;DivisDo</t>
  </si>
  <si>
    <t>Eishalle Sissek Zibel;MetzingerFi;SnojTa;ArlicMa;LegatKo</t>
  </si>
  <si>
    <t>Würtharena Neumarkt;MoschenAn;PinieOm;AbeltinoSi;GrisentiLu</t>
  </si>
  <si>
    <t>Eishalle Sterzing;LazzeriAl;VirtaTu;BrondiMa;BrondiPa</t>
  </si>
  <si>
    <t>Eishalle Jesenice;BergantAn;MetzingerFi;MurnikPe;WendnerMa</t>
  </si>
  <si>
    <t>Eisarena Salzburg;OrelSt;WinklerDa;PreiserJu;RinkerDa</t>
  </si>
  <si>
    <t>Eishalle Asiago;RuetzMa;StefenelliFe;FecchioFe;RinkerDa</t>
  </si>
  <si>
    <t>Eishalle Sterzing;HlavatyAl;UnterwegerDo;DivisDo;VeselkaMa</t>
  </si>
  <si>
    <t>Eishalle Asiago;PirasAn;StefenelliFe;BrondiPa;CusinFe</t>
  </si>
  <si>
    <t>KELIT Arena Zell am See;OrelSt;UnterwegerDo;WendnerMa;WuchererGe</t>
  </si>
  <si>
    <t>Eishalle Sterzing;BenvegnuAn;LazzeriAl;AbeltinoSi;BrondiMa</t>
  </si>
  <si>
    <t>Eishalle Asiago;MoschenAn;VirtaTu;CristeliMa;IlmerNo</t>
  </si>
  <si>
    <t>Eisarena Salzburg;RuetzMa;WinklerDa;DivisDo;WendnerMa</t>
  </si>
  <si>
    <t>Eishalle Meran;VirtaTu;WinklerDa;AbeltinoSi;RinkerDa</t>
  </si>
  <si>
    <t>Eishalle Sterzing;LebenJa;SnojTa;MarkizetiGr;MiklicGr</t>
  </si>
  <si>
    <t>Eishalle Ritten;BulovecMi;LebenJa;AbeltinoSi;CristeliMa</t>
  </si>
  <si>
    <t>Eisarena Salzburg;OrelSt;UnterwegerDo;WuchererGe;ZacherlPa</t>
  </si>
  <si>
    <t>Eishalle Meran;BergantAn;OrelSt;ArlicMa;StrimitzerDa</t>
  </si>
  <si>
    <t>Eishalle Sterzing;HolzerTo;WinklerDa;DivisDo;StrimitzerDa</t>
  </si>
  <si>
    <t>Eishalle Jesenice;BrockAd;PirasAn;FecchioFe;Steiner fFe</t>
  </si>
  <si>
    <t>Eishalle Gröden;GiacomozziFe;SpiegelSe;DivisDo;GrisentiLu</t>
  </si>
  <si>
    <t>Eishalle Jesenice;HlavatyAl;OrelSt;LegatKo;WendnerMa</t>
  </si>
  <si>
    <t>Würtharena Neumarkt;GiacomozziFe;WinklerDa;BrondiPa;RinkerDa</t>
  </si>
  <si>
    <t>KELIT Arena Zell am See;HlavatyAl;SpiegelSe;AbeltinoSi;DivisDo</t>
  </si>
  <si>
    <t>Eishalle Sterzing;LazzeriAl;PirasAn;CusinFe;StrimitzerDa</t>
  </si>
  <si>
    <t>Eishalle Sterzing;GiacomozziFe;VirtaTu;BrondiMa;RivisAn</t>
  </si>
  <si>
    <t>Sportpark Kitzbühel;OrelSt;WinklerDa;LegatKo;WuchererGe</t>
  </si>
  <si>
    <t>Eishalle Sissek Zibel;SnojTa;UnterwegerDo;StrimitzerDa;VeselkaMa</t>
  </si>
  <si>
    <t>Würtharena Neumarkt;BergantAn;PirasAn;BergeljNi;BrondiPa</t>
  </si>
  <si>
    <t>Würtharena Neumarkt;BulovecMi;RivisFe;MiklicGr;RivisAn</t>
  </si>
  <si>
    <t>Eishalle Sterzing;MoschenAn;StefenelliFe;BrondiPa;CristeliMa</t>
  </si>
  <si>
    <t>Eishalle Sissek Zibel;BergantAn;BulovecMi;JeramFi;WendnerMa</t>
  </si>
  <si>
    <t>Würtharena Neumarkt;Huber rRe;RivisFe;RinkerDa;ZacherlPa</t>
  </si>
  <si>
    <t>Eishalle Dornbirn;BrockAd;SpiegelSe;Steiner fFe;VeselkaMa</t>
  </si>
  <si>
    <t>Sportpark Kitzbühel;BulovecMi;Huber rRe;MurnikPe;StrimitzerDa</t>
  </si>
  <si>
    <t>Eisarena Salzburg;BrockAd;HlavatyAl;PreiserJu;VeselkaMa</t>
  </si>
  <si>
    <t>Eishalle Ritten;BergantAn;WinklerDa;MarkizetiGr;StrimitzerDa</t>
  </si>
  <si>
    <t>Eishalle Dornbirn;Huber rRe;SpiegelSe;Dummermuth-haasEl;SeewaldJe</t>
  </si>
  <si>
    <t>Eishalle Ritten;PirasAn;StefenelliFe;AbeltinoSi;FecchioFe</t>
  </si>
  <si>
    <t>Eishalle Sissek Zibel;BergantAn;LebenJa;JeramFi;WendnerMa</t>
  </si>
  <si>
    <t>Würtharena Neumarkt;PinieOm;VirtaTu;BrondiPa;BrondiMa</t>
  </si>
  <si>
    <t>Eishalle Sterzing;PinieOm;PirasAn;LegatKo;WendnerMa</t>
  </si>
  <si>
    <t>Eishalle Jesenice;LebenJa;OrelSt;BergeljNi;MarkizetiGr</t>
  </si>
  <si>
    <t>Eishalle Meran;MoschenAn;PinieOm;BrondiPa;CristeliMa</t>
  </si>
  <si>
    <t>Eishalle Asiago;SnojTa;StefenelliFe;MiklicGr;RivisAn</t>
  </si>
  <si>
    <t>Eishalle Sterzing;OrelSt;UnterwegerDo;AbeltinoSi;WuchererGe</t>
  </si>
  <si>
    <t>KELIT Arena Zell am See;BrockAd;WinklerDa;Steiner fFe;VeselkaMa</t>
  </si>
  <si>
    <t>Eishalle Pieve di Cadore;LebenJa;MoschenAn;CristeliMa;CusinFe</t>
  </si>
  <si>
    <t>Eishalle Sissek Zibel;BergantAn;SnojTa;MiklicGr;PreiserJu</t>
  </si>
  <si>
    <t>Sportpark Kitzbühel;BrockAd;HolzerTo;RinkerDa;WendnerMa</t>
  </si>
  <si>
    <t>Eisarena Salzburg;HlavatyAl;OrelSt;LegatKo;WuchererGe</t>
  </si>
  <si>
    <t>Eishalle Pieve di Cadore;BenvegnuAn;RivisFe;CristeliMa;RivisAn</t>
  </si>
  <si>
    <t>Eishalle Ritten;HlavatyAl;PinieOm;BrondiPa;Steiner fFe</t>
  </si>
  <si>
    <t>Eishalle Ritten;LazzeriAl;PinieOm;AbeltinoSi;BrondiMa</t>
  </si>
  <si>
    <t>Eishalle Gröden;BenvegnuAn;MoschenAn;FecchioFe;GrisentiLu</t>
  </si>
  <si>
    <t>Sportpark Kitzbühel;Huber rRe;PirasAn;IlmerNo;StrimitzerDa</t>
  </si>
  <si>
    <t>KELIT Arena Zell am See;BrockAd;RuetzMa;PreiserJu;VeselkaMa</t>
  </si>
  <si>
    <t>Würtharena Neumarkt;BergantAn;LazzeriAl;BrondiPa;JeramFi</t>
  </si>
  <si>
    <t>Eishalle Meran;PinieOm;StefenelliFe;FecchioFe;RivisAn</t>
  </si>
  <si>
    <t>Sportpark Kitzbühel;MetzingerFi;MoschenAn;GrisentiLu;JeramFi</t>
  </si>
  <si>
    <t>Eishalle Gröden;Huber rRe;LazzeriAl;AbeltinoSi;DivisDo</t>
  </si>
  <si>
    <t>Eishalle Cortina;BenvegnuAn;BulovecMi;CusinFe;MarkizetiGr</t>
  </si>
  <si>
    <t>Eishalle Ritten;BajtMi;MoschenAn;MarkizetiGr;MiklicGr</t>
  </si>
  <si>
    <t>Eishalle Jesenice;BergantAn;LebenJa;LegatKo;WendnerMa</t>
  </si>
  <si>
    <t>KELIT Arena Zell am See;BergantAn;GiacomozziFe;ArlicMa;IlmerNo</t>
  </si>
  <si>
    <t>Eisarena Salzburg;BenvegnuAn;BergantAn;GrisentiLu;MiklicGr</t>
  </si>
  <si>
    <t>Sportpark Kitzbühel;BrockAd;UnterwegerDo;Steiner fFe;WuchererGe</t>
  </si>
  <si>
    <t>Eishalle Asiago;PinieOm;VirtaTu;AbeltinoSi;BrondiMa</t>
  </si>
  <si>
    <t>Eishalle Ritten;BenvegnuAn;LazzeriAl;FecchioFe;IlmerNo</t>
  </si>
  <si>
    <t>Würtharena Neumarkt;BenvegnuAn;VirtaTu;BrondiMa;FecchioFe</t>
  </si>
  <si>
    <t>Eishalle Meran;Huber rRe;SoraperraSi;FleischmannLu;RinkerDa</t>
  </si>
  <si>
    <t>Eishalle Gröden;LebenJa;VirtaTu;AbeltinoSi;BergeljNi</t>
  </si>
  <si>
    <t>Eishalle Asiago;RivisFe;RuetzMa;CusinFe;StrimitzerDa</t>
  </si>
  <si>
    <t>Sportpark Kitzbühel;MetzingerFi;VoicanCh;MurnikPe;PreiserJu</t>
  </si>
  <si>
    <t>Eishalle Pieve di Cadore;LebenJa;VirtaTu;BrondiMa;MiklicGr</t>
  </si>
  <si>
    <t>Würtharena Neumarkt;GiacomozziFe;PirasAn;AbeltinoSi;BrondiPa</t>
  </si>
  <si>
    <t>Eishalle Dornbirn;HolzerTo;RuetzMa;DivisDo;SeewaldJe</t>
  </si>
  <si>
    <t>Würtharena Neumarkt;BenvegnuAn;RivisFe;CalloviniAn;GrisentiLu</t>
  </si>
  <si>
    <t>Sportpark Kitzbühel;MoschenAn;WinklerDa;FecchioFe;IlmerNo</t>
  </si>
  <si>
    <t>Eishalle Jesenice;BulovecMi;SnojTa;Steiner fFe;VeselkaMa</t>
  </si>
  <si>
    <t>Sportpark Kitzbühel;Huber rRe;OrelSt;DivisDo;WuchererGe</t>
  </si>
  <si>
    <t>Eishalle Sterzing;GiacomozziFe;RivisFe;AbeltinoSi;GrisentiLu</t>
  </si>
  <si>
    <t>KELIT Arena Zell am See;HolzerTo;Huber rRe;Steiner fFe;VeselkaMa</t>
  </si>
  <si>
    <t>Sportpark Kitzbühel;LazzeriAl;RuetzMa;GrisentiLu;IlmerNo</t>
  </si>
  <si>
    <t>Sportpark Kitzbühel;UnterwegerDo;WinklerDa;MarkizetiGr;WuchererGe</t>
  </si>
  <si>
    <t>Würtharena Neumarkt;SoraperraSi;StefenelliFe;CalloviniAn;RivisAn</t>
  </si>
  <si>
    <t>Eishalle Dornbirn;HolzerTo;Huber rRe;SeewaldJe;ZacherlPa</t>
  </si>
  <si>
    <t>Eishalle Meran;BulovecMi;MetzingerFi;FleischmannLu;MarkizetiGr</t>
  </si>
  <si>
    <t>Würtharena Neumarkt;PirasAn;StefenelliFe;Steiner fFe;VeselkaMa</t>
  </si>
  <si>
    <t>Eishalle Pieve di Cadore;BenvegnuAn;LazzeriAl;CristeliMa;GrisentiLu</t>
  </si>
  <si>
    <t>Eishalle Meran;BulovecMi;LebenJa;FecchioFe;FleischmannLu</t>
  </si>
  <si>
    <t>Eishalle Sissek Zibel;OrelSt;UnterwegerDo;MarkizetiGr;MurnikPe</t>
  </si>
  <si>
    <t>Eishalle Meran;OrelSt;PirasAn;IlmerNo;WuchererGe</t>
  </si>
  <si>
    <t>Eishalle Meran;MoschenAn;VirtaTu;Dummermuth-haasEl;ZacherlPa</t>
  </si>
  <si>
    <t>Eishalle Pieve di Cadore;LebenJa;RivisFe;ArlicMa;RivisAn</t>
  </si>
  <si>
    <t>KELIT Arena Zell am See;BrockAd;LazzeriAl;GrisentiLu;PreiserJu</t>
  </si>
  <si>
    <t>Eishalle Asiago;PirasAn;RivisFe;BrondiMa;RivisAn</t>
  </si>
  <si>
    <t>Eishalle Gröden;BenvegnuAn;StefenelliFe;FecchioFe;GrisentiLu</t>
  </si>
  <si>
    <t>Eishalle Gröden;BergantAn;PirasAn;ArlicMa;CusinFe</t>
  </si>
  <si>
    <t>Eishalle Gröden;RivisFe;VirtaTu;CristeliMa;RivisAn</t>
  </si>
  <si>
    <t>Eishalle Asiago;BulovecMi;LebenJa;IlmerNo;RivisAn</t>
  </si>
  <si>
    <t>Eishalle Sissek Zibel;OrelSt;UnterwegerDo;Steiner fFe;WuchererGe</t>
  </si>
  <si>
    <t>Sportpark Kitzbühel;Huber rRe;MoschenAn;StrimitzerDa;ZacherlPa</t>
  </si>
  <si>
    <t>Eishalle Dornbirn;HolzerTo;LazzeriAl;DivisDo;RivisAn</t>
  </si>
  <si>
    <t>Eishalle Asiago;PirasAn;VirtaTu;CristeliMa;CusinFe</t>
  </si>
  <si>
    <t>Eishalle Meran;BulovecMi;SpiegelSe;JeramFi;MarkizetiGr</t>
  </si>
  <si>
    <t>KELIT Arena Zell am See;RuetzMa;WinklerDa;PreiserJu;RinkerDa</t>
  </si>
  <si>
    <t>Eishalle Cortina;BajtMi;VirtaTu;CristeliMa;MurnikPe</t>
  </si>
  <si>
    <t>KELIT Arena Zell am See;BrockAd;HlavatyAl;Dummermuth-haasEl;PreiserJu</t>
  </si>
  <si>
    <t>Eishalle Cortina;LazzeriAl;PirasAn;DivisDo;IlmerNo</t>
  </si>
  <si>
    <t>Eishalle Cortina;MoschenAn;WinklerDa;Steiner fFe;VeselkaMa</t>
  </si>
  <si>
    <t>Eishalle Gröden;BrockAd;RuetzMa;StrimitzerDa;VeselkaMa</t>
  </si>
  <si>
    <t>Eishalle Asiago;BenvegnuAn;WinklerDa;GrisentiLu;RinkerDa</t>
  </si>
  <si>
    <t>Eishalle Meran;PirasAn;VirtaTu;CusinFe;IlmerNo</t>
  </si>
  <si>
    <t>Eishalle Gröden;GiacomozziFe;Huber rRe;RinkerDa;RivisAn</t>
  </si>
  <si>
    <t>Eishalle Pieve di Cadore;LazzeriAl;VirtaTu;BrondiMa;CristeliMa</t>
  </si>
  <si>
    <t>Eishalle Gröden;Huber rRe;VirtaTu;GrisentiLu;RinkerDa</t>
  </si>
  <si>
    <t>Eishalle Dornbirn;MoschenAn;RuetzMa;BrondiMa;IlmerNo</t>
  </si>
  <si>
    <t>Eishalle Gröden;LazzeriAl;WinklerDa;DivisDo;RinkerDa</t>
  </si>
  <si>
    <t>Eishalle Asiago;GiacomozziFe;StefenelliFe;AbeltinoSi;CristeliMa</t>
  </si>
  <si>
    <t>KELIT Arena Zell am See;BrockAd;VirtaTu;BrondiMa;StrimitzerDa</t>
  </si>
  <si>
    <t>Eishalle Pieve di Cadore;LazzeriAl;PirasAn;CusinFe;FecchioFe</t>
  </si>
  <si>
    <t>Eishalle Gröden;LazzeriAl;PinieOm;AbeltinoSi;BrondiPa</t>
  </si>
  <si>
    <t>Eishalle Dornbirn;RivisFe;WinklerDa;BrondiPa;StrimitzerDa</t>
  </si>
  <si>
    <t>Eishalle Asiago;LazzeriAl;RivisFe;BergeljNi;MiklicGr</t>
  </si>
  <si>
    <t>Eishalle Jesenice;Huber rRe;RuetzMa;RinkerDa;SeewaldJe</t>
  </si>
  <si>
    <t>Sportpark Kitzbühel;LazzeriAl;RuetzMa;RinkerDa;SparerDa</t>
  </si>
  <si>
    <t>Würtharena Neumarkt;BulovecMi;SnojTa;BergeljNi;MiklicGr</t>
  </si>
  <si>
    <t>Eishalle Cortina;SnojTa;SpiegelSe;MarkizetiGr;StrimitzerDa</t>
  </si>
  <si>
    <t>Eishalle Dornbirn;BenvegnuAn;SpiegelSe;FecchioFe;IlmerNo</t>
  </si>
  <si>
    <t>Eishalle Cortina;RivisFe;WinklerDa;CristeliMa;RinkerDa</t>
  </si>
  <si>
    <t>Eishalle Asiago;BenvegnuAn;LebenJa;GrisentiLu;MurnikPe</t>
  </si>
  <si>
    <t>Eishalle Cortina;UnterwegerDo;WidmannFl;StrimitzerDa;WendnerMa</t>
  </si>
  <si>
    <t>Eishalle Cortina;BergantAn;StefenelliFe;BrondiMa;MurnikPe</t>
  </si>
  <si>
    <t>Sportpark Kitzbühel;SpiegelSe;StefenelliFe;DivisDo;GrisentiLu</t>
  </si>
  <si>
    <t>Eishalle Asiago;PinieOm;StefenelliFe;BrondiMa;CusinFe</t>
  </si>
  <si>
    <t>Eishalle Ritten;RivisFe;SoraperraSi;BrondiMa;FecchioFe</t>
  </si>
  <si>
    <t>Eishalle Gröden;MoschenAn;SnojTa;ArlicMa;FleischmannLu</t>
  </si>
  <si>
    <t>Eishalle Pieve di Cadore;LazzeriAl;PinieOm;BrondiPa;CristeliMa</t>
  </si>
  <si>
    <t>Eishalle Asiago;BenvegnuAn;MetzingerFi;BrondiPa;MurnikPe</t>
  </si>
  <si>
    <t>Eishalle Asiago;LazzeriAl;StefenelliFe;BrondiPa;FecchioFe</t>
  </si>
  <si>
    <t>Eishalle Meran;MoschenAn;SpiegelSe;FecchioFe;IlmerNo</t>
  </si>
  <si>
    <t>Eishalle Pieve di Cadore;BergantAn;MetzingerFi;ArlicMa;MiklicGr</t>
  </si>
  <si>
    <t>Eishalle Sterzing;RivisFe;SpiegelSe;FecchioFe;RivisAn</t>
  </si>
  <si>
    <t>Eishalle Gröden;MoschenAn;PinieOm;MarkizetiGr;MurnikPe</t>
  </si>
  <si>
    <t>KELIT Arena Zell am See;HolzerTo;VoicanCh;GrisentiLu;RivisAn</t>
  </si>
  <si>
    <t>Eishalle Gröden;BenvegnuAn;SoraperraSi;CristeliMa;RivisAn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</si>
  <si>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</si>
  <si>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</si>
  <si>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</si>
  <si>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</si>
  <si>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</si>
  <si>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</si>
  <si>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</si>
  <si>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</si>
  <si>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</si>
  <si>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</si>
  <si>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</si>
  <si>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</si>
  <si>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hr</t>
  </si>
  <si>
    <t>Slo</t>
  </si>
  <si>
    <t>trainees</t>
  </si>
  <si>
    <t>It</t>
  </si>
  <si>
    <t>kotrola</t>
  </si>
  <si>
    <t>Aut</t>
  </si>
  <si>
    <t>kontrola</t>
  </si>
  <si>
    <t>Št sodnikov</t>
  </si>
  <si>
    <t>Delegirana kola</t>
  </si>
  <si>
    <t>Glavni</t>
  </si>
  <si>
    <t>Linici</t>
  </si>
  <si>
    <t>povp. Tekm</t>
  </si>
  <si>
    <t>Ita</t>
  </si>
  <si>
    <t>sum</t>
  </si>
  <si>
    <t>te še niso dubl tekme</t>
  </si>
  <si>
    <t>Blaz Javornik - Ref ALPS &lt;javornik.blaz@gmail.com&gt;,</t>
  </si>
  <si>
    <t>Jacopo Pace - LM AHL &lt;jacopo.pace98@gmail.com&gt;,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</si>
</sst>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2222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10" fontId="0" fillId="5" borderId="12" xfId="0" applyNumberFormat="1" applyFill="1" applyBorder="1" applyAlignment="1">
      <alignment horizontal="center"/>
    </xf>
    <xf numFmtId="10" fontId="0" fillId="5" borderId="2" xfId="0" applyNumberFormat="1" applyFill="1" applyBorder="1"/>
    <xf numFmtId="1" fontId="0" fillId="5" borderId="11" xfId="0" applyNumberFormat="1" applyFill="1" applyBorder="1"/>
    <xf numFmtId="0" fontId="0" fillId="5" borderId="0" xfId="0" applyFill="1"/>
    <xf numFmtId="1" fontId="2" fillId="5" borderId="11" xfId="0" applyNumberFormat="1" applyFont="1" applyFill="1" applyBorder="1"/>
    <xf numFmtId="2" fontId="0" fillId="5" borderId="0" xfId="0" applyNumberFormat="1" applyFill="1"/>
    <xf numFmtId="0" fontId="0" fillId="5" borderId="13" xfId="0" applyFill="1" applyBorder="1"/>
    <xf numFmtId="0" fontId="0" fillId="5" borderId="13" xfId="0" applyFill="1" applyBorder="1" applyAlignment="1">
      <alignment horizontal="center"/>
    </xf>
    <xf numFmtId="10" fontId="0" fillId="5" borderId="14" xfId="0" applyNumberFormat="1" applyFill="1" applyBorder="1" applyAlignment="1">
      <alignment horizontal="center"/>
    </xf>
    <xf numFmtId="1" fontId="0" fillId="5" borderId="13" xfId="0" applyNumberFormat="1" applyFill="1" applyBorder="1"/>
    <xf numFmtId="1" fontId="2" fillId="5" borderId="13" xfId="0" applyNumberFormat="1" applyFont="1" applyFill="1" applyBorder="1"/>
    <xf numFmtId="0" fontId="0" fillId="0" borderId="15" xfId="0" applyBorder="1"/>
    <xf numFmtId="0" fontId="0" fillId="0" borderId="16" xfId="0" applyBorder="1"/>
    <xf numFmtId="0" fontId="0" fillId="6" borderId="7" xfId="0" applyFill="1" applyBorder="1"/>
    <xf numFmtId="0" fontId="0" fillId="6" borderId="17" xfId="0" applyFill="1" applyBorder="1" applyAlignment="1">
      <alignment horizontal="center"/>
    </xf>
    <xf numFmtId="10" fontId="0" fillId="6" borderId="18" xfId="0" applyNumberFormat="1" applyFill="1" applyBorder="1" applyAlignment="1">
      <alignment horizontal="center"/>
    </xf>
    <xf numFmtId="10" fontId="0" fillId="6" borderId="19" xfId="0" applyNumberFormat="1" applyFill="1" applyBorder="1"/>
    <xf numFmtId="1" fontId="0" fillId="7" borderId="17" xfId="0" applyNumberFormat="1" applyFill="1" applyBorder="1"/>
    <xf numFmtId="0" fontId="0" fillId="0" borderId="3" xfId="0" applyBorder="1"/>
    <xf numFmtId="1" fontId="2" fillId="8" borderId="17" xfId="0" applyNumberFormat="1" applyFont="1" applyFill="1" applyBorder="1"/>
    <xf numFmtId="2" fontId="0" fillId="0" borderId="4" xfId="0" applyNumberFormat="1" applyBorder="1"/>
    <xf numFmtId="0" fontId="0" fillId="0" borderId="20" xfId="0" applyBorder="1"/>
    <xf numFmtId="0" fontId="0" fillId="0" borderId="11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21" xfId="0" applyNumberFormat="1" applyBorder="1"/>
    <xf numFmtId="1" fontId="0" fillId="7" borderId="11" xfId="0" applyNumberFormat="1" applyFill="1" applyBorder="1"/>
    <xf numFmtId="1" fontId="2" fillId="9" borderId="11" xfId="0" applyNumberFormat="1" applyFont="1" applyFill="1" applyBorder="1"/>
    <xf numFmtId="2" fontId="0" fillId="0" borderId="22" xfId="0" applyNumberFormat="1" applyBorder="1"/>
    <xf numFmtId="0" fontId="0" fillId="0" borderId="23" xfId="0" applyBorder="1" applyAlignment="1">
      <alignment horizontal="center"/>
    </xf>
    <xf numFmtId="10" fontId="0" fillId="0" borderId="24" xfId="0" applyNumberFormat="1" applyBorder="1" applyAlignment="1">
      <alignment horizontal="center"/>
    </xf>
    <xf numFmtId="1" fontId="0" fillId="7" borderId="23" xfId="0" applyNumberFormat="1" applyFill="1" applyBorder="1"/>
    <xf numFmtId="1" fontId="3" fillId="10" borderId="23" xfId="0" applyNumberFormat="1" applyFont="1" applyFill="1" applyBorder="1"/>
    <xf numFmtId="2" fontId="0" fillId="0" borderId="6" xfId="0" applyNumberFormat="1" applyBorder="1"/>
    <xf numFmtId="0" fontId="0" fillId="0" borderId="12" xfId="0" applyBorder="1" applyAlignment="1">
      <alignment horizontal="right"/>
    </xf>
    <xf numFmtId="2" fontId="0" fillId="0" borderId="25" xfId="0" applyNumberFormat="1" applyBorder="1"/>
    <xf numFmtId="0" fontId="0" fillId="0" borderId="11" xfId="0" applyBorder="1"/>
    <xf numFmtId="1" fontId="0" fillId="0" borderId="25" xfId="0" applyNumberFormat="1" applyBorder="1"/>
    <xf numFmtId="2" fontId="0" fillId="0" borderId="11" xfId="0" applyNumberFormat="1" applyBorder="1"/>
    <xf numFmtId="0" fontId="0" fillId="0" borderId="0" xfId="0" applyAlignment="1">
      <alignment horizontal="center" wrapText="1"/>
    </xf>
    <xf numFmtId="0" fontId="0" fillId="0" borderId="18" xfId="0" applyBorder="1"/>
    <xf numFmtId="0" fontId="0" fillId="0" borderId="26" xfId="0" applyBorder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8" borderId="0" xfId="0" applyFill="1"/>
    <xf numFmtId="0" fontId="0" fillId="11" borderId="0" xfId="0" applyFill="1"/>
    <xf numFmtId="0" fontId="4" fillId="11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3"/>
  <sheetViews>
    <sheetView zoomScaleNormal="100" workbookViewId="0">
      <selection sqref="A1:XFD3"/>
    </sheetView>
  </sheetViews>
  <sheetFormatPr defaultRowHeight="14.45" customHeight="1" x14ac:dyDescent="0.25"/>
  <cols>
    <col min="1" max="1" width="11.7109375" customWidth="1"/>
    <col min="2" max="2" width="13.42578125" customWidth="1"/>
    <col min="3" max="3" width="11.28515625" customWidth="1"/>
    <col min="4" max="4" width="15.140625" customWidth="1"/>
    <col min="5" max="5" width="14.5703125" customWidth="1"/>
    <col min="6" max="6" width="11.42578125" customWidth="1"/>
    <col min="7" max="7" width="13.42578125" customWidth="1"/>
    <col min="8" max="8" width="11.28515625" customWidth="1"/>
    <col min="9" max="9" width="10.28515625" customWidth="1"/>
    <col min="10" max="10" width="14.5703125" customWidth="1"/>
    <col min="11" max="11" width="11.140625" customWidth="1"/>
    <col min="12" max="12" width="11" customWidth="1"/>
    <col min="13" max="13" width="14.42578125" customWidth="1"/>
    <col min="14" max="14" width="12.85546875" customWidth="1"/>
    <col min="15" max="15" width="13.28515625" customWidth="1"/>
    <col min="16" max="16" width="11" customWidth="1"/>
    <col min="17" max="17" width="11.140625" customWidth="1"/>
    <col min="18" max="18" width="11" customWidth="1"/>
    <col min="19" max="19" width="11.7109375" customWidth="1"/>
    <col min="20" max="20" width="10.5703125" customWidth="1"/>
    <col min="21" max="21" width="11.85546875" customWidth="1"/>
    <col min="22" max="22" width="10.7109375" customWidth="1"/>
    <col min="23" max="23" width="11.7109375" customWidth="1"/>
    <col min="24" max="24" width="12.5703125" customWidth="1"/>
    <col min="25" max="25" width="10.7109375" customWidth="1"/>
    <col min="26" max="26" width="14.140625" customWidth="1"/>
    <col min="27" max="27" width="12.42578125" customWidth="1"/>
    <col min="28" max="28" width="17.28515625" customWidth="1"/>
    <col min="29" max="29" width="12.5703125" customWidth="1"/>
    <col min="30" max="30" width="11.85546875" customWidth="1"/>
    <col min="31" max="31" width="12.5703125" customWidth="1"/>
    <col min="32" max="32" width="10.7109375" customWidth="1"/>
    <col min="33" max="33" width="13" customWidth="1"/>
    <col min="34" max="34" width="12.140625" customWidth="1"/>
    <col min="35" max="35" width="13.42578125" customWidth="1"/>
    <col min="36" max="36" width="10.28515625" customWidth="1"/>
    <col min="37" max="37" width="13.5703125" customWidth="1"/>
    <col min="38" max="38" width="10.140625" customWidth="1"/>
    <col min="39" max="39" width="11.140625" customWidth="1"/>
    <col min="40" max="40" width="13.28515625" customWidth="1"/>
    <col min="41" max="41" width="16.85546875" customWidth="1"/>
    <col min="42" max="42" width="10.28515625" customWidth="1"/>
    <col min="43" max="43" width="10.42578125" customWidth="1"/>
    <col min="44" max="44" width="13.28515625" customWidth="1"/>
    <col min="45" max="45" width="10.5703125" customWidth="1"/>
    <col min="46" max="46" width="12.5703125" customWidth="1"/>
    <col min="47" max="47" width="11.85546875" customWidth="1"/>
    <col min="48" max="48" width="10.85546875" customWidth="1"/>
    <col min="49" max="49" width="10.42578125" customWidth="1"/>
    <col min="50" max="50" width="12.5703125" customWidth="1"/>
    <col min="51" max="51" width="11.42578125" customWidth="1"/>
    <col min="52" max="52" width="11.7109375" customWidth="1"/>
    <col min="53" max="53" width="14.42578125" customWidth="1"/>
    <col min="54" max="54" width="11.42578125" customWidth="1"/>
    <col min="55" max="55" width="11.28515625" customWidth="1"/>
    <col min="56" max="56" width="13.28515625" customWidth="1"/>
    <col min="57" max="57" width="12" customWidth="1"/>
    <col min="58" max="58" width="13.7109375" customWidth="1"/>
    <col min="59" max="59" width="11.7109375" customWidth="1"/>
    <col min="60" max="60" width="14.28515625" customWidth="1"/>
    <col min="61" max="61" width="11.7109375" customWidth="1"/>
    <col min="62" max="62" width="11.42578125" customWidth="1"/>
    <col min="63" max="63" width="11" customWidth="1"/>
    <col min="64" max="64" width="11.85546875" customWidth="1"/>
    <col min="65" max="65" width="15.5703125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61" ht="14.45" customHeight="1" x14ac:dyDescent="0.25">
      <c r="A1">
        <f t="shared" ref="A1:AF1" si="0">COUNTIF(A4:A50,"&lt;&gt;")</f>
        <v>34</v>
      </c>
      <c r="B1">
        <f t="shared" si="0"/>
        <v>34</v>
      </c>
      <c r="C1">
        <f t="shared" si="0"/>
        <v>30</v>
      </c>
      <c r="D1">
        <f t="shared" si="0"/>
        <v>30</v>
      </c>
      <c r="E1">
        <f t="shared" si="0"/>
        <v>30</v>
      </c>
      <c r="F1">
        <f t="shared" si="0"/>
        <v>29</v>
      </c>
      <c r="G1">
        <f t="shared" si="0"/>
        <v>28</v>
      </c>
      <c r="H1">
        <f t="shared" si="0"/>
        <v>27</v>
      </c>
      <c r="I1">
        <f t="shared" si="0"/>
        <v>27</v>
      </c>
      <c r="J1">
        <f t="shared" si="0"/>
        <v>27</v>
      </c>
      <c r="K1">
        <f t="shared" si="0"/>
        <v>27</v>
      </c>
      <c r="L1">
        <f t="shared" si="0"/>
        <v>26</v>
      </c>
      <c r="M1">
        <f t="shared" si="0"/>
        <v>25</v>
      </c>
      <c r="N1">
        <f t="shared" si="0"/>
        <v>25</v>
      </c>
      <c r="O1">
        <f t="shared" si="0"/>
        <v>25</v>
      </c>
      <c r="P1">
        <f t="shared" si="0"/>
        <v>24</v>
      </c>
      <c r="Q1">
        <f t="shared" si="0"/>
        <v>24</v>
      </c>
      <c r="R1">
        <f t="shared" si="0"/>
        <v>24</v>
      </c>
      <c r="S1">
        <f t="shared" si="0"/>
        <v>24</v>
      </c>
      <c r="T1">
        <f t="shared" si="0"/>
        <v>24</v>
      </c>
      <c r="U1">
        <f t="shared" si="0"/>
        <v>23</v>
      </c>
      <c r="V1">
        <f t="shared" si="0"/>
        <v>23</v>
      </c>
      <c r="W1">
        <f t="shared" si="0"/>
        <v>23</v>
      </c>
      <c r="X1">
        <f t="shared" si="0"/>
        <v>22</v>
      </c>
      <c r="Y1">
        <f t="shared" si="0"/>
        <v>22</v>
      </c>
      <c r="Z1">
        <f t="shared" si="0"/>
        <v>22</v>
      </c>
      <c r="AA1">
        <f t="shared" si="0"/>
        <v>22</v>
      </c>
      <c r="AB1">
        <f t="shared" si="0"/>
        <v>22</v>
      </c>
      <c r="AC1">
        <f t="shared" si="0"/>
        <v>22</v>
      </c>
      <c r="AD1">
        <f t="shared" si="0"/>
        <v>21</v>
      </c>
      <c r="AE1">
        <f t="shared" si="0"/>
        <v>21</v>
      </c>
      <c r="AF1">
        <f t="shared" si="0"/>
        <v>20</v>
      </c>
      <c r="AG1">
        <f t="shared" ref="AG1:BI1" si="1">COUNTIF(AG4:AG50,"&lt;&gt;")</f>
        <v>19</v>
      </c>
      <c r="AH1">
        <f t="shared" si="1"/>
        <v>19</v>
      </c>
      <c r="AI1">
        <f t="shared" si="1"/>
        <v>19</v>
      </c>
      <c r="AJ1">
        <f t="shared" si="1"/>
        <v>19</v>
      </c>
      <c r="AK1">
        <f t="shared" si="1"/>
        <v>18</v>
      </c>
      <c r="AL1">
        <f t="shared" si="1"/>
        <v>18</v>
      </c>
      <c r="AM1">
        <f t="shared" si="1"/>
        <v>17</v>
      </c>
      <c r="AN1">
        <f t="shared" si="1"/>
        <v>16</v>
      </c>
      <c r="AO1">
        <f t="shared" si="1"/>
        <v>15</v>
      </c>
      <c r="AP1">
        <f t="shared" si="1"/>
        <v>14</v>
      </c>
      <c r="AQ1">
        <f t="shared" si="1"/>
        <v>15</v>
      </c>
      <c r="AR1">
        <f t="shared" si="1"/>
        <v>14</v>
      </c>
      <c r="AS1">
        <f t="shared" si="1"/>
        <v>14</v>
      </c>
      <c r="AT1">
        <f t="shared" si="1"/>
        <v>14</v>
      </c>
      <c r="AU1">
        <f t="shared" si="1"/>
        <v>14</v>
      </c>
      <c r="AV1">
        <f t="shared" si="1"/>
        <v>10</v>
      </c>
      <c r="AW1">
        <f t="shared" si="1"/>
        <v>10</v>
      </c>
      <c r="AX1">
        <f t="shared" si="1"/>
        <v>8</v>
      </c>
      <c r="AY1">
        <f t="shared" si="1"/>
        <v>7</v>
      </c>
      <c r="AZ1">
        <f t="shared" si="1"/>
        <v>7</v>
      </c>
      <c r="BA1">
        <f t="shared" si="1"/>
        <v>5</v>
      </c>
      <c r="BB1">
        <f t="shared" si="1"/>
        <v>4</v>
      </c>
      <c r="BC1">
        <f t="shared" si="1"/>
        <v>3</v>
      </c>
      <c r="BD1">
        <f t="shared" si="1"/>
        <v>3</v>
      </c>
      <c r="BE1">
        <f t="shared" si="1"/>
        <v>3</v>
      </c>
      <c r="BF1">
        <f t="shared" si="1"/>
        <v>1</v>
      </c>
      <c r="BG1">
        <f t="shared" si="1"/>
        <v>1</v>
      </c>
      <c r="BH1">
        <f t="shared" si="1"/>
        <v>1</v>
      </c>
      <c r="BI1">
        <f t="shared" si="1"/>
        <v>1</v>
      </c>
    </row>
    <row r="2" spans="1:61" ht="14.45" customHeight="1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2" t="s">
        <v>1</v>
      </c>
      <c r="H2" s="2" t="s">
        <v>1</v>
      </c>
      <c r="I2" s="3" t="s">
        <v>2</v>
      </c>
      <c r="J2" s="3" t="s">
        <v>2</v>
      </c>
      <c r="K2" s="3" t="s">
        <v>2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3" t="s">
        <v>2</v>
      </c>
      <c r="U2" s="1" t="s">
        <v>0</v>
      </c>
      <c r="V2" s="2" t="s">
        <v>1</v>
      </c>
      <c r="W2" s="2" t="s">
        <v>1</v>
      </c>
      <c r="X2" s="1" t="s">
        <v>0</v>
      </c>
      <c r="Y2" s="1" t="s">
        <v>0</v>
      </c>
      <c r="Z2" s="2" t="s">
        <v>1</v>
      </c>
      <c r="AA2" s="2" t="s">
        <v>1</v>
      </c>
      <c r="AB2" s="2" t="s">
        <v>1</v>
      </c>
      <c r="AC2" s="3" t="s">
        <v>2</v>
      </c>
      <c r="AD2" s="3" t="s">
        <v>2</v>
      </c>
      <c r="AE2" s="3" t="s">
        <v>2</v>
      </c>
      <c r="AF2" s="3" t="s">
        <v>2</v>
      </c>
      <c r="AG2" s="1" t="s">
        <v>0</v>
      </c>
      <c r="AH2" s="1" t="s">
        <v>0</v>
      </c>
      <c r="AI2" s="1" t="s">
        <v>0</v>
      </c>
      <c r="AJ2" s="3" t="s">
        <v>2</v>
      </c>
      <c r="AK2" s="1" t="s">
        <v>0</v>
      </c>
      <c r="AL2" s="1" t="s">
        <v>0</v>
      </c>
      <c r="AM2" s="2" t="s">
        <v>1</v>
      </c>
      <c r="AN2" s="3" t="s">
        <v>2</v>
      </c>
      <c r="AO2" s="1" t="s">
        <v>0</v>
      </c>
      <c r="AP2" s="2" t="s">
        <v>1</v>
      </c>
      <c r="AQ2" s="3" t="s">
        <v>2</v>
      </c>
      <c r="AR2" s="2" t="s">
        <v>1</v>
      </c>
      <c r="AS2" s="3" t="s">
        <v>2</v>
      </c>
      <c r="AT2" s="3" t="s">
        <v>2</v>
      </c>
      <c r="AU2" s="3" t="s">
        <v>2</v>
      </c>
      <c r="AV2" s="1" t="s">
        <v>0</v>
      </c>
      <c r="AW2" s="3" t="s">
        <v>2</v>
      </c>
      <c r="AX2" s="3" t="s">
        <v>2</v>
      </c>
      <c r="AY2" s="1" t="s">
        <v>0</v>
      </c>
      <c r="AZ2" s="3" t="s">
        <v>2</v>
      </c>
      <c r="BA2" s="2" t="s">
        <v>1</v>
      </c>
      <c r="BB2" s="2" t="s">
        <v>1</v>
      </c>
      <c r="BC2" s="1" t="s">
        <v>0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</row>
    <row r="3" spans="1:61" ht="15" customHeight="1" x14ac:dyDescent="0.25">
      <c r="A3" t="s">
        <v>27</v>
      </c>
      <c r="B3" t="s">
        <v>40</v>
      </c>
      <c r="C3" t="s">
        <v>37</v>
      </c>
      <c r="D3" t="s">
        <v>44</v>
      </c>
      <c r="E3" t="s">
        <v>49</v>
      </c>
      <c r="F3" t="s">
        <v>41</v>
      </c>
      <c r="G3" t="s">
        <v>15</v>
      </c>
      <c r="H3" t="s">
        <v>18</v>
      </c>
      <c r="I3" t="s">
        <v>38</v>
      </c>
      <c r="J3" t="s">
        <v>45</v>
      </c>
      <c r="K3" t="s">
        <v>46</v>
      </c>
      <c r="L3" t="s">
        <v>22</v>
      </c>
      <c r="M3" t="s">
        <v>19</v>
      </c>
      <c r="N3" t="s">
        <v>28</v>
      </c>
      <c r="O3" t="s">
        <v>30</v>
      </c>
      <c r="P3" t="s">
        <v>17</v>
      </c>
      <c r="Q3" t="s">
        <v>20</v>
      </c>
      <c r="R3" t="s">
        <v>26</v>
      </c>
      <c r="S3" t="s">
        <v>29</v>
      </c>
      <c r="T3" t="s">
        <v>47</v>
      </c>
      <c r="U3" t="s">
        <v>3</v>
      </c>
      <c r="V3" t="s">
        <v>16</v>
      </c>
      <c r="W3" t="s">
        <v>24</v>
      </c>
      <c r="X3" t="s">
        <v>4</v>
      </c>
      <c r="Y3" t="s">
        <v>5</v>
      </c>
      <c r="Z3" t="s">
        <v>23</v>
      </c>
      <c r="AA3" t="s">
        <v>25</v>
      </c>
      <c r="AB3" t="s">
        <v>35</v>
      </c>
      <c r="AC3" t="s">
        <v>48</v>
      </c>
      <c r="AD3" t="s">
        <v>42</v>
      </c>
      <c r="AE3" t="s">
        <v>43</v>
      </c>
      <c r="AF3" t="s">
        <v>39</v>
      </c>
      <c r="AG3" t="s">
        <v>6</v>
      </c>
      <c r="AH3" t="s">
        <v>10</v>
      </c>
      <c r="AI3" t="s">
        <v>12</v>
      </c>
      <c r="AJ3" t="s">
        <v>54</v>
      </c>
      <c r="AK3" t="s">
        <v>7</v>
      </c>
      <c r="AL3" t="s">
        <v>9</v>
      </c>
      <c r="AM3" t="s">
        <v>21</v>
      </c>
      <c r="AN3" t="s">
        <v>50</v>
      </c>
      <c r="AO3" t="s">
        <v>11</v>
      </c>
      <c r="AP3" t="s">
        <v>31</v>
      </c>
      <c r="AQ3" t="s">
        <v>52</v>
      </c>
      <c r="AR3" t="s">
        <v>32</v>
      </c>
      <c r="AS3" t="s">
        <v>36</v>
      </c>
      <c r="AT3" t="s">
        <v>51</v>
      </c>
      <c r="AU3" t="s">
        <v>53</v>
      </c>
      <c r="AV3" t="s">
        <v>8</v>
      </c>
      <c r="AW3" t="s">
        <v>56</v>
      </c>
      <c r="AX3" t="s">
        <v>55</v>
      </c>
      <c r="AY3" t="s">
        <v>14</v>
      </c>
      <c r="AZ3" t="s">
        <v>59</v>
      </c>
      <c r="BA3" t="s">
        <v>33</v>
      </c>
      <c r="BB3" t="s">
        <v>34</v>
      </c>
      <c r="BC3" t="s">
        <v>13</v>
      </c>
      <c r="BD3" t="s">
        <v>57</v>
      </c>
      <c r="BE3" t="s">
        <v>58</v>
      </c>
      <c r="BF3" t="s">
        <v>60</v>
      </c>
      <c r="BG3" t="s">
        <v>61</v>
      </c>
      <c r="BH3" t="s">
        <v>62</v>
      </c>
      <c r="BI3" t="s">
        <v>63</v>
      </c>
    </row>
    <row r="4" spans="1:61" ht="15" customHeight="1" x14ac:dyDescent="0.25">
      <c r="A4" t="s">
        <v>69</v>
      </c>
      <c r="B4" t="s">
        <v>69</v>
      </c>
      <c r="C4" t="s">
        <v>69</v>
      </c>
      <c r="D4" t="s">
        <v>64</v>
      </c>
      <c r="E4" t="s">
        <v>74</v>
      </c>
      <c r="F4" t="s">
        <v>69</v>
      </c>
      <c r="G4" t="s">
        <v>69</v>
      </c>
      <c r="H4" t="s">
        <v>69</v>
      </c>
      <c r="I4" t="s">
        <v>69</v>
      </c>
      <c r="J4" t="s">
        <v>64</v>
      </c>
      <c r="K4" t="s">
        <v>65</v>
      </c>
      <c r="L4" t="s">
        <v>69</v>
      </c>
      <c r="M4" t="s">
        <v>69</v>
      </c>
      <c r="N4" t="s">
        <v>69</v>
      </c>
      <c r="O4" t="s">
        <v>70</v>
      </c>
      <c r="P4" t="s">
        <v>69</v>
      </c>
      <c r="Q4" t="s">
        <v>69</v>
      </c>
      <c r="R4" t="s">
        <v>69</v>
      </c>
      <c r="S4" t="s">
        <v>66</v>
      </c>
      <c r="T4" t="s">
        <v>65</v>
      </c>
      <c r="U4" t="s">
        <v>64</v>
      </c>
      <c r="V4" t="s">
        <v>69</v>
      </c>
      <c r="W4" t="s">
        <v>70</v>
      </c>
      <c r="X4" t="s">
        <v>65</v>
      </c>
      <c r="Y4" t="s">
        <v>65</v>
      </c>
      <c r="Z4" t="s">
        <v>70</v>
      </c>
      <c r="AA4" t="s">
        <v>70</v>
      </c>
      <c r="AB4" t="s">
        <v>69</v>
      </c>
      <c r="AC4" t="s">
        <v>65</v>
      </c>
      <c r="AD4" t="s">
        <v>69</v>
      </c>
      <c r="AE4" t="s">
        <v>69</v>
      </c>
      <c r="AF4" t="s">
        <v>69</v>
      </c>
      <c r="AG4" t="s">
        <v>65</v>
      </c>
      <c r="AH4" t="s">
        <v>66</v>
      </c>
      <c r="AI4" t="s">
        <v>65</v>
      </c>
      <c r="AJ4" t="s">
        <v>71</v>
      </c>
      <c r="AK4" t="s">
        <v>64</v>
      </c>
      <c r="AL4" t="s">
        <v>66</v>
      </c>
      <c r="AM4" t="s">
        <v>69</v>
      </c>
      <c r="AN4" t="s">
        <v>74</v>
      </c>
      <c r="AO4" t="s">
        <v>66</v>
      </c>
      <c r="AP4" t="s">
        <v>71</v>
      </c>
      <c r="AQ4" t="s">
        <v>75</v>
      </c>
      <c r="AR4" t="s">
        <v>71</v>
      </c>
      <c r="AS4" t="s">
        <v>69</v>
      </c>
      <c r="AT4" t="s">
        <v>74</v>
      </c>
      <c r="AU4" t="s">
        <v>75</v>
      </c>
      <c r="AV4" t="s">
        <v>65</v>
      </c>
      <c r="AW4" t="s">
        <v>67</v>
      </c>
      <c r="AX4" t="s">
        <v>75</v>
      </c>
      <c r="AY4" t="s">
        <v>68</v>
      </c>
      <c r="AZ4" t="s">
        <v>78</v>
      </c>
      <c r="BA4" t="s">
        <v>72</v>
      </c>
      <c r="BB4" t="s">
        <v>73</v>
      </c>
      <c r="BC4" t="s">
        <v>67</v>
      </c>
      <c r="BD4" t="s">
        <v>76</v>
      </c>
      <c r="BE4" t="s">
        <v>77</v>
      </c>
      <c r="BF4" s="4" t="s">
        <v>79</v>
      </c>
      <c r="BG4" s="4" t="s">
        <v>79</v>
      </c>
      <c r="BH4" s="4" t="s">
        <v>79</v>
      </c>
      <c r="BI4" t="s">
        <v>80</v>
      </c>
    </row>
    <row r="5" spans="1:61" ht="15" customHeight="1" x14ac:dyDescent="0.25">
      <c r="A5" t="s">
        <v>74</v>
      </c>
      <c r="B5" t="s">
        <v>74</v>
      </c>
      <c r="C5" t="s">
        <v>65</v>
      </c>
      <c r="D5" t="s">
        <v>75</v>
      </c>
      <c r="E5" t="s">
        <v>75</v>
      </c>
      <c r="F5" t="s">
        <v>65</v>
      </c>
      <c r="G5" t="s">
        <v>65</v>
      </c>
      <c r="H5" t="s">
        <v>74</v>
      </c>
      <c r="I5" t="s">
        <v>84</v>
      </c>
      <c r="J5" t="s">
        <v>74</v>
      </c>
      <c r="K5" t="s">
        <v>74</v>
      </c>
      <c r="L5" t="s">
        <v>74</v>
      </c>
      <c r="M5" t="s">
        <v>65</v>
      </c>
      <c r="N5" t="s">
        <v>74</v>
      </c>
      <c r="O5" t="s">
        <v>65</v>
      </c>
      <c r="P5" t="s">
        <v>65</v>
      </c>
      <c r="Q5" t="s">
        <v>65</v>
      </c>
      <c r="R5" t="s">
        <v>65</v>
      </c>
      <c r="S5" t="s">
        <v>75</v>
      </c>
      <c r="T5" t="s">
        <v>74</v>
      </c>
      <c r="U5" t="s">
        <v>66</v>
      </c>
      <c r="V5" t="s">
        <v>74</v>
      </c>
      <c r="W5" t="s">
        <v>65</v>
      </c>
      <c r="X5" t="s">
        <v>74</v>
      </c>
      <c r="Y5" t="s">
        <v>74</v>
      </c>
      <c r="Z5" t="s">
        <v>66</v>
      </c>
      <c r="AA5" t="s">
        <v>74</v>
      </c>
      <c r="AB5" t="s">
        <v>65</v>
      </c>
      <c r="AC5" t="s">
        <v>74</v>
      </c>
      <c r="AD5" t="s">
        <v>65</v>
      </c>
      <c r="AE5" t="s">
        <v>65</v>
      </c>
      <c r="AF5" t="s">
        <v>85</v>
      </c>
      <c r="AG5" t="s">
        <v>74</v>
      </c>
      <c r="AH5" t="s">
        <v>75</v>
      </c>
      <c r="AI5" t="s">
        <v>74</v>
      </c>
      <c r="AJ5" t="s">
        <v>72</v>
      </c>
      <c r="AK5" t="s">
        <v>65</v>
      </c>
      <c r="AL5" t="s">
        <v>75</v>
      </c>
      <c r="AM5" t="s">
        <v>66</v>
      </c>
      <c r="AN5" t="s">
        <v>84</v>
      </c>
      <c r="AO5" t="s">
        <v>75</v>
      </c>
      <c r="AP5" t="s">
        <v>68</v>
      </c>
      <c r="AQ5" t="s">
        <v>85</v>
      </c>
      <c r="AR5" t="s">
        <v>82</v>
      </c>
      <c r="AS5" t="s">
        <v>65</v>
      </c>
      <c r="AT5" t="s">
        <v>67</v>
      </c>
      <c r="AU5" t="s">
        <v>85</v>
      </c>
      <c r="AV5" t="s">
        <v>74</v>
      </c>
      <c r="AW5" t="s">
        <v>86</v>
      </c>
      <c r="AX5" t="s">
        <v>72</v>
      </c>
      <c r="AY5" t="s">
        <v>81</v>
      </c>
      <c r="AZ5" t="s">
        <v>89</v>
      </c>
      <c r="BA5" t="s">
        <v>81</v>
      </c>
      <c r="BB5" t="s">
        <v>83</v>
      </c>
      <c r="BC5" t="s">
        <v>81</v>
      </c>
      <c r="BD5" t="s">
        <v>87</v>
      </c>
      <c r="BE5" t="s">
        <v>88</v>
      </c>
    </row>
    <row r="6" spans="1:61" ht="15" customHeight="1" x14ac:dyDescent="0.25">
      <c r="A6" t="s">
        <v>75</v>
      </c>
      <c r="B6" t="s">
        <v>66</v>
      </c>
      <c r="C6" t="s">
        <v>84</v>
      </c>
      <c r="D6" t="s">
        <v>71</v>
      </c>
      <c r="E6" t="s">
        <v>71</v>
      </c>
      <c r="F6" t="s">
        <v>71</v>
      </c>
      <c r="G6" t="s">
        <v>75</v>
      </c>
      <c r="H6" t="s">
        <v>66</v>
      </c>
      <c r="I6" t="s">
        <v>85</v>
      </c>
      <c r="J6" t="s">
        <v>75</v>
      </c>
      <c r="K6" s="4" t="s">
        <v>84</v>
      </c>
      <c r="L6" t="s">
        <v>66</v>
      </c>
      <c r="M6" t="s">
        <v>66</v>
      </c>
      <c r="N6" t="s">
        <v>75</v>
      </c>
      <c r="O6" t="s">
        <v>66</v>
      </c>
      <c r="P6" t="s">
        <v>66</v>
      </c>
      <c r="Q6" t="s">
        <v>75</v>
      </c>
      <c r="R6" t="s">
        <v>75</v>
      </c>
      <c r="S6" t="s">
        <v>91</v>
      </c>
      <c r="T6" t="s">
        <v>94</v>
      </c>
      <c r="U6" t="s">
        <v>75</v>
      </c>
      <c r="V6" t="s">
        <v>66</v>
      </c>
      <c r="W6" t="s">
        <v>75</v>
      </c>
      <c r="X6" t="s">
        <v>66</v>
      </c>
      <c r="Y6" t="s">
        <v>66</v>
      </c>
      <c r="Z6" t="s">
        <v>65</v>
      </c>
      <c r="AA6" t="s">
        <v>75</v>
      </c>
      <c r="AB6" t="s">
        <v>66</v>
      </c>
      <c r="AC6" t="s">
        <v>75</v>
      </c>
      <c r="AD6" t="s">
        <v>94</v>
      </c>
      <c r="AE6" t="s">
        <v>95</v>
      </c>
      <c r="AF6" s="4" t="s">
        <v>72</v>
      </c>
      <c r="AG6" t="s">
        <v>66</v>
      </c>
      <c r="AH6" t="s">
        <v>72</v>
      </c>
      <c r="AI6" t="s">
        <v>85</v>
      </c>
      <c r="AJ6" t="s">
        <v>96</v>
      </c>
      <c r="AK6" t="s">
        <v>74</v>
      </c>
      <c r="AL6" t="s">
        <v>71</v>
      </c>
      <c r="AM6" t="s">
        <v>85</v>
      </c>
      <c r="AN6" t="s">
        <v>85</v>
      </c>
      <c r="AO6" t="s">
        <v>72</v>
      </c>
      <c r="AP6" t="s">
        <v>72</v>
      </c>
      <c r="AQ6" t="s">
        <v>72</v>
      </c>
      <c r="AR6" t="s">
        <v>92</v>
      </c>
      <c r="AS6" t="s">
        <v>91</v>
      </c>
      <c r="AT6" t="s">
        <v>91</v>
      </c>
      <c r="AU6" t="s">
        <v>95</v>
      </c>
      <c r="AV6" t="s">
        <v>75</v>
      </c>
      <c r="AW6" t="s">
        <v>98</v>
      </c>
      <c r="AX6" t="s">
        <v>97</v>
      </c>
      <c r="AY6" t="s">
        <v>88</v>
      </c>
      <c r="AZ6" t="s">
        <v>100</v>
      </c>
      <c r="BA6" t="s">
        <v>90</v>
      </c>
      <c r="BB6" t="s">
        <v>93</v>
      </c>
      <c r="BC6" s="4" t="s">
        <v>90</v>
      </c>
      <c r="BD6" s="4" t="s">
        <v>99</v>
      </c>
      <c r="BE6" t="s">
        <v>79</v>
      </c>
    </row>
    <row r="7" spans="1:61" ht="15" customHeight="1" x14ac:dyDescent="0.25">
      <c r="A7" t="s">
        <v>71</v>
      </c>
      <c r="B7" t="s">
        <v>71</v>
      </c>
      <c r="C7" t="s">
        <v>66</v>
      </c>
      <c r="D7" t="s">
        <v>68</v>
      </c>
      <c r="E7" t="s">
        <v>68</v>
      </c>
      <c r="F7" t="s">
        <v>85</v>
      </c>
      <c r="G7" t="s">
        <v>94</v>
      </c>
      <c r="H7" t="s">
        <v>75</v>
      </c>
      <c r="I7" t="s">
        <v>67</v>
      </c>
      <c r="J7" t="s">
        <v>71</v>
      </c>
      <c r="K7" t="s">
        <v>71</v>
      </c>
      <c r="L7" t="s">
        <v>75</v>
      </c>
      <c r="M7" t="s">
        <v>82</v>
      </c>
      <c r="N7" t="s">
        <v>82</v>
      </c>
      <c r="O7" t="s">
        <v>75</v>
      </c>
      <c r="P7" t="s">
        <v>71</v>
      </c>
      <c r="Q7" t="s">
        <v>94</v>
      </c>
      <c r="R7" t="s">
        <v>71</v>
      </c>
      <c r="S7" t="s">
        <v>71</v>
      </c>
      <c r="T7" t="s">
        <v>72</v>
      </c>
      <c r="U7" t="s">
        <v>71</v>
      </c>
      <c r="V7" t="s">
        <v>71</v>
      </c>
      <c r="W7" t="s">
        <v>71</v>
      </c>
      <c r="X7" t="s">
        <v>94</v>
      </c>
      <c r="Y7" t="s">
        <v>71</v>
      </c>
      <c r="Z7" t="s">
        <v>71</v>
      </c>
      <c r="AA7" t="s">
        <v>85</v>
      </c>
      <c r="AB7" t="s">
        <v>67</v>
      </c>
      <c r="AC7" t="s">
        <v>85</v>
      </c>
      <c r="AD7" t="s">
        <v>67</v>
      </c>
      <c r="AE7" s="4" t="s">
        <v>76</v>
      </c>
      <c r="AF7" t="s">
        <v>76</v>
      </c>
      <c r="AG7" t="s">
        <v>71</v>
      </c>
      <c r="AH7" t="s">
        <v>77</v>
      </c>
      <c r="AI7" t="s">
        <v>67</v>
      </c>
      <c r="AJ7" t="s">
        <v>85</v>
      </c>
      <c r="AK7" t="s">
        <v>66</v>
      </c>
      <c r="AL7" t="s">
        <v>77</v>
      </c>
      <c r="AM7" t="s">
        <v>77</v>
      </c>
      <c r="AN7" t="s">
        <v>76</v>
      </c>
      <c r="AO7" t="s">
        <v>96</v>
      </c>
      <c r="AP7" t="s">
        <v>76</v>
      </c>
      <c r="AQ7" t="s">
        <v>96</v>
      </c>
      <c r="AR7" t="s">
        <v>102</v>
      </c>
      <c r="AS7" t="s">
        <v>104</v>
      </c>
      <c r="AT7" t="s">
        <v>77</v>
      </c>
      <c r="AU7" t="s">
        <v>91</v>
      </c>
      <c r="AV7" t="s">
        <v>94</v>
      </c>
      <c r="AW7" t="s">
        <v>105</v>
      </c>
      <c r="AX7" t="s">
        <v>79</v>
      </c>
      <c r="AY7" t="s">
        <v>101</v>
      </c>
      <c r="AZ7" t="s">
        <v>99</v>
      </c>
      <c r="BA7" t="s">
        <v>93</v>
      </c>
      <c r="BB7" t="s">
        <v>103</v>
      </c>
    </row>
    <row r="8" spans="1:61" ht="15" customHeight="1" x14ac:dyDescent="0.25">
      <c r="A8" t="s">
        <v>82</v>
      </c>
      <c r="B8" t="s">
        <v>85</v>
      </c>
      <c r="C8" t="s">
        <v>71</v>
      </c>
      <c r="D8" t="s">
        <v>72</v>
      </c>
      <c r="E8" t="s">
        <v>72</v>
      </c>
      <c r="F8" t="s">
        <v>72</v>
      </c>
      <c r="G8" t="s">
        <v>67</v>
      </c>
      <c r="H8" t="s">
        <v>65</v>
      </c>
      <c r="I8" t="s">
        <v>68</v>
      </c>
      <c r="J8" t="s">
        <v>67</v>
      </c>
      <c r="K8" t="s">
        <v>85</v>
      </c>
      <c r="L8" s="4" t="s">
        <v>94</v>
      </c>
      <c r="M8" t="s">
        <v>67</v>
      </c>
      <c r="N8" t="s">
        <v>68</v>
      </c>
      <c r="O8" t="s">
        <v>71</v>
      </c>
      <c r="P8" t="s">
        <v>72</v>
      </c>
      <c r="Q8" t="s">
        <v>77</v>
      </c>
      <c r="R8" t="s">
        <v>82</v>
      </c>
      <c r="S8" t="s">
        <v>94</v>
      </c>
      <c r="T8" t="s">
        <v>76</v>
      </c>
      <c r="U8" t="s">
        <v>85</v>
      </c>
      <c r="V8" t="s">
        <v>82</v>
      </c>
      <c r="W8" t="s">
        <v>68</v>
      </c>
      <c r="X8" t="s">
        <v>76</v>
      </c>
      <c r="Y8" t="s">
        <v>72</v>
      </c>
      <c r="Z8" t="s">
        <v>77</v>
      </c>
      <c r="AA8" t="s">
        <v>67</v>
      </c>
      <c r="AB8" t="s">
        <v>72</v>
      </c>
      <c r="AC8" t="s">
        <v>68</v>
      </c>
      <c r="AD8" t="s">
        <v>72</v>
      </c>
      <c r="AE8" t="s">
        <v>108</v>
      </c>
      <c r="AF8" t="s">
        <v>68</v>
      </c>
      <c r="AG8" t="s">
        <v>72</v>
      </c>
      <c r="AH8" t="s">
        <v>96</v>
      </c>
      <c r="AI8" t="s">
        <v>92</v>
      </c>
      <c r="AJ8" t="s">
        <v>68</v>
      </c>
      <c r="AK8" t="s">
        <v>67</v>
      </c>
      <c r="AL8" t="s">
        <v>96</v>
      </c>
      <c r="AM8" t="s">
        <v>72</v>
      </c>
      <c r="AN8" t="s">
        <v>109</v>
      </c>
      <c r="AO8" t="s">
        <v>91</v>
      </c>
      <c r="AP8" t="s">
        <v>96</v>
      </c>
      <c r="AQ8" t="s">
        <v>91</v>
      </c>
      <c r="AR8" t="s">
        <v>81</v>
      </c>
      <c r="AS8" t="s">
        <v>89</v>
      </c>
      <c r="AT8" t="s">
        <v>68</v>
      </c>
      <c r="AU8" t="s">
        <v>81</v>
      </c>
      <c r="AV8" t="s">
        <v>77</v>
      </c>
      <c r="AW8" t="s">
        <v>110</v>
      </c>
      <c r="AX8" t="s">
        <v>101</v>
      </c>
      <c r="AY8" t="s">
        <v>106</v>
      </c>
      <c r="AZ8" t="s">
        <v>106</v>
      </c>
      <c r="BA8" t="s">
        <v>107</v>
      </c>
      <c r="BE8" s="4"/>
    </row>
    <row r="9" spans="1:61" ht="15" customHeight="1" x14ac:dyDescent="0.25">
      <c r="A9" t="s">
        <v>68</v>
      </c>
      <c r="B9" t="s">
        <v>72</v>
      </c>
      <c r="C9" t="s">
        <v>85</v>
      </c>
      <c r="D9" t="s">
        <v>76</v>
      </c>
      <c r="E9" t="s">
        <v>82</v>
      </c>
      <c r="F9" t="s">
        <v>77</v>
      </c>
      <c r="G9" t="s">
        <v>72</v>
      </c>
      <c r="H9" t="s">
        <v>68</v>
      </c>
      <c r="I9" t="s">
        <v>76</v>
      </c>
      <c r="J9" t="s">
        <v>72</v>
      </c>
      <c r="K9" t="s">
        <v>95</v>
      </c>
      <c r="L9" t="s">
        <v>67</v>
      </c>
      <c r="M9" t="s">
        <v>91</v>
      </c>
      <c r="N9" t="s">
        <v>72</v>
      </c>
      <c r="O9" t="s">
        <v>76</v>
      </c>
      <c r="P9" t="s">
        <v>91</v>
      </c>
      <c r="Q9" t="s">
        <v>96</v>
      </c>
      <c r="R9" t="s">
        <v>72</v>
      </c>
      <c r="S9" t="s">
        <v>104</v>
      </c>
      <c r="T9" t="s">
        <v>108</v>
      </c>
      <c r="U9" t="s">
        <v>68</v>
      </c>
      <c r="V9" t="s">
        <v>91</v>
      </c>
      <c r="W9" t="s">
        <v>76</v>
      </c>
      <c r="X9" t="s">
        <v>108</v>
      </c>
      <c r="Y9" t="s">
        <v>76</v>
      </c>
      <c r="Z9" t="s">
        <v>96</v>
      </c>
      <c r="AA9" t="s">
        <v>72</v>
      </c>
      <c r="AB9" t="s">
        <v>91</v>
      </c>
      <c r="AC9" t="s">
        <v>91</v>
      </c>
      <c r="AD9" t="s">
        <v>76</v>
      </c>
      <c r="AE9" t="s">
        <v>91</v>
      </c>
      <c r="AF9" t="s">
        <v>87</v>
      </c>
      <c r="AG9" t="s">
        <v>92</v>
      </c>
      <c r="AH9" t="s">
        <v>71</v>
      </c>
      <c r="AI9" t="s">
        <v>77</v>
      </c>
      <c r="AJ9" t="s">
        <v>114</v>
      </c>
      <c r="AK9" t="s">
        <v>76</v>
      </c>
      <c r="AL9" t="s">
        <v>102</v>
      </c>
      <c r="AM9" t="s">
        <v>91</v>
      </c>
      <c r="AN9" t="s">
        <v>98</v>
      </c>
      <c r="AO9" t="s">
        <v>102</v>
      </c>
      <c r="AP9" t="s">
        <v>112</v>
      </c>
      <c r="AQ9" t="s">
        <v>89</v>
      </c>
      <c r="AR9" t="s">
        <v>73</v>
      </c>
      <c r="AS9" t="s">
        <v>98</v>
      </c>
      <c r="AT9" t="s">
        <v>89</v>
      </c>
      <c r="AU9" t="s">
        <v>113</v>
      </c>
      <c r="AV9" t="s">
        <v>98</v>
      </c>
      <c r="AW9" t="s">
        <v>100</v>
      </c>
      <c r="AX9" t="s">
        <v>115</v>
      </c>
      <c r="AY9" t="s">
        <v>111</v>
      </c>
      <c r="AZ9" t="s">
        <v>116</v>
      </c>
    </row>
    <row r="10" spans="1:61" ht="15" customHeight="1" x14ac:dyDescent="0.25">
      <c r="A10" t="s">
        <v>76</v>
      </c>
      <c r="B10" t="s">
        <v>77</v>
      </c>
      <c r="C10" t="s">
        <v>95</v>
      </c>
      <c r="D10" t="s">
        <v>91</v>
      </c>
      <c r="E10" t="s">
        <v>120</v>
      </c>
      <c r="F10" t="s">
        <v>78</v>
      </c>
      <c r="G10" t="s">
        <v>76</v>
      </c>
      <c r="H10" t="s">
        <v>76</v>
      </c>
      <c r="I10" t="s">
        <v>91</v>
      </c>
      <c r="J10" t="s">
        <v>91</v>
      </c>
      <c r="K10" t="s">
        <v>76</v>
      </c>
      <c r="L10" t="s">
        <v>76</v>
      </c>
      <c r="M10" t="s">
        <v>77</v>
      </c>
      <c r="N10" t="s">
        <v>76</v>
      </c>
      <c r="O10" t="s">
        <v>91</v>
      </c>
      <c r="P10" t="s">
        <v>77</v>
      </c>
      <c r="Q10" t="s">
        <v>91</v>
      </c>
      <c r="R10" t="s">
        <v>76</v>
      </c>
      <c r="S10" t="s">
        <v>81</v>
      </c>
      <c r="T10" t="s">
        <v>119</v>
      </c>
      <c r="U10" t="s">
        <v>77</v>
      </c>
      <c r="V10" t="s">
        <v>88</v>
      </c>
      <c r="W10" t="s">
        <v>91</v>
      </c>
      <c r="X10" t="s">
        <v>68</v>
      </c>
      <c r="Y10" t="s">
        <v>68</v>
      </c>
      <c r="Z10" t="s">
        <v>91</v>
      </c>
      <c r="AA10" t="s">
        <v>76</v>
      </c>
      <c r="AB10" t="s">
        <v>77</v>
      </c>
      <c r="AC10" t="s">
        <v>77</v>
      </c>
      <c r="AD10" t="s">
        <v>108</v>
      </c>
      <c r="AE10" t="s">
        <v>75</v>
      </c>
      <c r="AF10" t="s">
        <v>113</v>
      </c>
      <c r="AG10" t="s">
        <v>68</v>
      </c>
      <c r="AH10" t="s">
        <v>117</v>
      </c>
      <c r="AI10" t="s">
        <v>117</v>
      </c>
      <c r="AJ10" t="s">
        <v>81</v>
      </c>
      <c r="AK10" t="s">
        <v>96</v>
      </c>
      <c r="AL10" t="s">
        <v>81</v>
      </c>
      <c r="AM10" t="s">
        <v>104</v>
      </c>
      <c r="AN10" t="s">
        <v>121</v>
      </c>
      <c r="AO10" t="s">
        <v>81</v>
      </c>
      <c r="AP10" t="s">
        <v>104</v>
      </c>
      <c r="AQ10" t="s">
        <v>98</v>
      </c>
      <c r="AR10" t="s">
        <v>118</v>
      </c>
      <c r="AS10" t="s">
        <v>97</v>
      </c>
      <c r="AT10" t="s">
        <v>98</v>
      </c>
      <c r="AU10" t="s">
        <v>97</v>
      </c>
      <c r="AV10" t="s">
        <v>105</v>
      </c>
      <c r="AW10" t="s">
        <v>115</v>
      </c>
      <c r="AX10" t="s">
        <v>122</v>
      </c>
      <c r="AY10" t="s">
        <v>107</v>
      </c>
      <c r="AZ10" t="s">
        <v>107</v>
      </c>
      <c r="BA10" s="4"/>
      <c r="BB10" s="4"/>
    </row>
    <row r="11" spans="1:61" ht="15" customHeight="1" x14ac:dyDescent="0.25">
      <c r="A11" t="s">
        <v>77</v>
      </c>
      <c r="B11" t="s">
        <v>78</v>
      </c>
      <c r="C11" t="s">
        <v>76</v>
      </c>
      <c r="D11" t="s">
        <v>96</v>
      </c>
      <c r="E11" t="s">
        <v>67</v>
      </c>
      <c r="F11" t="s">
        <v>68</v>
      </c>
      <c r="G11" t="s">
        <v>120</v>
      </c>
      <c r="H11" t="s">
        <v>82</v>
      </c>
      <c r="I11" t="s">
        <v>71</v>
      </c>
      <c r="J11" t="s">
        <v>120</v>
      </c>
      <c r="K11" t="s">
        <v>91</v>
      </c>
      <c r="L11" t="s">
        <v>96</v>
      </c>
      <c r="M11" t="s">
        <v>104</v>
      </c>
      <c r="N11" t="s">
        <v>91</v>
      </c>
      <c r="O11" t="s">
        <v>96</v>
      </c>
      <c r="P11" t="s">
        <v>85</v>
      </c>
      <c r="Q11" t="s">
        <v>114</v>
      </c>
      <c r="R11" t="s">
        <v>96</v>
      </c>
      <c r="S11" t="s">
        <v>88</v>
      </c>
      <c r="T11" t="s">
        <v>109</v>
      </c>
      <c r="U11" t="s">
        <v>96</v>
      </c>
      <c r="V11" t="s">
        <v>104</v>
      </c>
      <c r="W11" t="s">
        <v>77</v>
      </c>
      <c r="X11" t="s">
        <v>102</v>
      </c>
      <c r="Y11" t="s">
        <v>117</v>
      </c>
      <c r="Z11" t="s">
        <v>112</v>
      </c>
      <c r="AA11" t="s">
        <v>96</v>
      </c>
      <c r="AB11" t="s">
        <v>102</v>
      </c>
      <c r="AC11" t="s">
        <v>78</v>
      </c>
      <c r="AD11" t="s">
        <v>91</v>
      </c>
      <c r="AE11" t="s">
        <v>104</v>
      </c>
      <c r="AF11" t="s">
        <v>98</v>
      </c>
      <c r="AG11" t="s">
        <v>88</v>
      </c>
      <c r="AH11" t="s">
        <v>112</v>
      </c>
      <c r="AI11" t="s">
        <v>112</v>
      </c>
      <c r="AJ11" t="s">
        <v>102</v>
      </c>
      <c r="AK11" t="s">
        <v>102</v>
      </c>
      <c r="AL11" t="s">
        <v>88</v>
      </c>
      <c r="AM11" t="s">
        <v>89</v>
      </c>
      <c r="AN11" t="s">
        <v>105</v>
      </c>
      <c r="AO11" t="s">
        <v>97</v>
      </c>
      <c r="AP11" t="s">
        <v>89</v>
      </c>
      <c r="AQ11" t="s">
        <v>105</v>
      </c>
      <c r="AR11" t="s">
        <v>105</v>
      </c>
      <c r="AS11" t="s">
        <v>105</v>
      </c>
      <c r="AT11" t="s">
        <v>121</v>
      </c>
      <c r="AU11" t="s">
        <v>123</v>
      </c>
      <c r="AV11" t="s">
        <v>79</v>
      </c>
      <c r="AW11" t="s">
        <v>124</v>
      </c>
      <c r="AX11" t="s">
        <v>107</v>
      </c>
    </row>
    <row r="12" spans="1:61" ht="15" customHeight="1" x14ac:dyDescent="0.25">
      <c r="A12" t="s">
        <v>96</v>
      </c>
      <c r="B12" t="s">
        <v>67</v>
      </c>
      <c r="C12" t="s">
        <v>92</v>
      </c>
      <c r="D12" t="s">
        <v>86</v>
      </c>
      <c r="E12" t="s">
        <v>114</v>
      </c>
      <c r="F12" t="s">
        <v>76</v>
      </c>
      <c r="G12" t="s">
        <v>126</v>
      </c>
      <c r="H12" t="s">
        <v>120</v>
      </c>
      <c r="I12" t="s">
        <v>89</v>
      </c>
      <c r="J12" t="s">
        <v>68</v>
      </c>
      <c r="K12" t="s">
        <v>104</v>
      </c>
      <c r="L12" t="s">
        <v>112</v>
      </c>
      <c r="M12" t="s">
        <v>89</v>
      </c>
      <c r="N12" t="s">
        <v>67</v>
      </c>
      <c r="O12" t="s">
        <v>68</v>
      </c>
      <c r="P12" t="s">
        <v>126</v>
      </c>
      <c r="Q12" t="s">
        <v>104</v>
      </c>
      <c r="R12" t="s">
        <v>102</v>
      </c>
      <c r="S12" t="s">
        <v>127</v>
      </c>
      <c r="T12" t="s">
        <v>89</v>
      </c>
      <c r="U12" t="s">
        <v>117</v>
      </c>
      <c r="V12" t="s">
        <v>114</v>
      </c>
      <c r="W12" t="s">
        <v>89</v>
      </c>
      <c r="X12" t="s">
        <v>88</v>
      </c>
      <c r="Y12" t="s">
        <v>112</v>
      </c>
      <c r="Z12" t="s">
        <v>104</v>
      </c>
      <c r="AA12" t="s">
        <v>126</v>
      </c>
      <c r="AB12" t="s">
        <v>81</v>
      </c>
      <c r="AC12" t="s">
        <v>89</v>
      </c>
      <c r="AD12" t="s">
        <v>119</v>
      </c>
      <c r="AE12" t="s">
        <v>89</v>
      </c>
      <c r="AF12" t="s">
        <v>73</v>
      </c>
      <c r="AG12" t="s">
        <v>81</v>
      </c>
      <c r="AH12" t="s">
        <v>81</v>
      </c>
      <c r="AI12" t="s">
        <v>81</v>
      </c>
      <c r="AJ12" t="s">
        <v>98</v>
      </c>
      <c r="AK12" t="s">
        <v>89</v>
      </c>
      <c r="AL12" t="s">
        <v>97</v>
      </c>
      <c r="AM12" t="s">
        <v>98</v>
      </c>
      <c r="AN12" t="s">
        <v>128</v>
      </c>
      <c r="AO12" t="s">
        <v>90</v>
      </c>
      <c r="AP12" t="s">
        <v>97</v>
      </c>
      <c r="AQ12" t="s">
        <v>128</v>
      </c>
      <c r="AR12" t="s">
        <v>128</v>
      </c>
      <c r="AS12" t="s">
        <v>79</v>
      </c>
      <c r="AT12" t="s">
        <v>128</v>
      </c>
      <c r="AU12" t="s">
        <v>125</v>
      </c>
      <c r="AV12" t="s">
        <v>125</v>
      </c>
      <c r="AW12" t="s">
        <v>129</v>
      </c>
    </row>
    <row r="13" spans="1:61" ht="15" customHeight="1" x14ac:dyDescent="0.25">
      <c r="A13" t="s">
        <v>112</v>
      </c>
      <c r="B13" t="s">
        <v>109</v>
      </c>
      <c r="C13" t="s">
        <v>77</v>
      </c>
      <c r="D13" t="s">
        <v>89</v>
      </c>
      <c r="E13" t="s">
        <v>86</v>
      </c>
      <c r="F13" s="4" t="s">
        <v>104</v>
      </c>
      <c r="G13" t="s">
        <v>104</v>
      </c>
      <c r="H13" t="s">
        <v>77</v>
      </c>
      <c r="I13" t="s">
        <v>132</v>
      </c>
      <c r="J13" t="s">
        <v>114</v>
      </c>
      <c r="K13" t="s">
        <v>81</v>
      </c>
      <c r="L13" t="s">
        <v>104</v>
      </c>
      <c r="M13" t="s">
        <v>131</v>
      </c>
      <c r="N13" t="s">
        <v>126</v>
      </c>
      <c r="O13" t="s">
        <v>104</v>
      </c>
      <c r="P13" t="s">
        <v>81</v>
      </c>
      <c r="Q13" t="s">
        <v>81</v>
      </c>
      <c r="R13" t="s">
        <v>88</v>
      </c>
      <c r="S13" t="s">
        <v>97</v>
      </c>
      <c r="T13" t="s">
        <v>104</v>
      </c>
      <c r="U13" t="s">
        <v>112</v>
      </c>
      <c r="V13" t="s">
        <v>130</v>
      </c>
      <c r="W13" t="s">
        <v>98</v>
      </c>
      <c r="X13" t="s">
        <v>104</v>
      </c>
      <c r="Y13" t="s">
        <v>81</v>
      </c>
      <c r="Z13" t="s">
        <v>89</v>
      </c>
      <c r="AA13" t="s">
        <v>104</v>
      </c>
      <c r="AB13" t="s">
        <v>88</v>
      </c>
      <c r="AC13" t="s">
        <v>104</v>
      </c>
      <c r="AD13" t="s">
        <v>89</v>
      </c>
      <c r="AE13" t="s">
        <v>98</v>
      </c>
      <c r="AF13" t="s">
        <v>90</v>
      </c>
      <c r="AG13" t="s">
        <v>105</v>
      </c>
      <c r="AH13" t="s">
        <v>88</v>
      </c>
      <c r="AI13" t="s">
        <v>98</v>
      </c>
      <c r="AJ13" t="s">
        <v>123</v>
      </c>
      <c r="AK13" t="s">
        <v>88</v>
      </c>
      <c r="AL13" t="s">
        <v>128</v>
      </c>
      <c r="AM13" t="s">
        <v>130</v>
      </c>
      <c r="AN13" t="s">
        <v>110</v>
      </c>
      <c r="AO13" t="s">
        <v>128</v>
      </c>
      <c r="AP13" t="s">
        <v>90</v>
      </c>
      <c r="AQ13" t="s">
        <v>99</v>
      </c>
      <c r="AR13" t="s">
        <v>101</v>
      </c>
      <c r="AS13" t="s">
        <v>101</v>
      </c>
      <c r="AT13" t="s">
        <v>110</v>
      </c>
      <c r="AU13" t="s">
        <v>105</v>
      </c>
      <c r="AV13" t="s">
        <v>93</v>
      </c>
      <c r="AW13" t="s">
        <v>133</v>
      </c>
    </row>
    <row r="14" spans="1:61" ht="15" customHeight="1" x14ac:dyDescent="0.25">
      <c r="A14" t="s">
        <v>102</v>
      </c>
      <c r="B14" t="s">
        <v>104</v>
      </c>
      <c r="C14" t="s">
        <v>119</v>
      </c>
      <c r="D14" t="s">
        <v>118</v>
      </c>
      <c r="E14" t="s">
        <v>89</v>
      </c>
      <c r="F14" t="s">
        <v>89</v>
      </c>
      <c r="G14" t="s">
        <v>88</v>
      </c>
      <c r="H14" t="s">
        <v>104</v>
      </c>
      <c r="I14" t="s">
        <v>104</v>
      </c>
      <c r="J14" t="s">
        <v>87</v>
      </c>
      <c r="K14" t="s">
        <v>132</v>
      </c>
      <c r="L14" t="s">
        <v>88</v>
      </c>
      <c r="M14" t="s">
        <v>97</v>
      </c>
      <c r="N14" t="s">
        <v>89</v>
      </c>
      <c r="O14" t="s">
        <v>89</v>
      </c>
      <c r="P14" t="s">
        <v>88</v>
      </c>
      <c r="Q14" t="s">
        <v>88</v>
      </c>
      <c r="R14" t="s">
        <v>119</v>
      </c>
      <c r="S14" t="s">
        <v>114</v>
      </c>
      <c r="T14" t="s">
        <v>98</v>
      </c>
      <c r="U14" t="s">
        <v>89</v>
      </c>
      <c r="V14" t="s">
        <v>105</v>
      </c>
      <c r="W14" t="s">
        <v>97</v>
      </c>
      <c r="X14" t="s">
        <v>90</v>
      </c>
      <c r="Y14" t="s">
        <v>98</v>
      </c>
      <c r="Z14" t="s">
        <v>90</v>
      </c>
      <c r="AA14" t="s">
        <v>88</v>
      </c>
      <c r="AB14" t="s">
        <v>73</v>
      </c>
      <c r="AC14" t="s">
        <v>134</v>
      </c>
      <c r="AD14" t="s">
        <v>98</v>
      </c>
      <c r="AE14" t="s">
        <v>97</v>
      </c>
      <c r="AF14" t="s">
        <v>83</v>
      </c>
      <c r="AG14" t="s">
        <v>100</v>
      </c>
      <c r="AH14" s="4" t="s">
        <v>90</v>
      </c>
      <c r="AI14" t="s">
        <v>90</v>
      </c>
      <c r="AJ14" t="s">
        <v>83</v>
      </c>
      <c r="AK14" t="s">
        <v>105</v>
      </c>
      <c r="AL14" t="s">
        <v>125</v>
      </c>
      <c r="AM14" t="s">
        <v>105</v>
      </c>
      <c r="AN14" t="s">
        <v>135</v>
      </c>
      <c r="AO14" t="s">
        <v>125</v>
      </c>
      <c r="AP14" t="s">
        <v>83</v>
      </c>
      <c r="AQ14" t="s">
        <v>101</v>
      </c>
      <c r="AR14" t="s">
        <v>122</v>
      </c>
      <c r="AS14" t="s">
        <v>106</v>
      </c>
      <c r="AT14" t="s">
        <v>136</v>
      </c>
      <c r="AU14" t="s">
        <v>115</v>
      </c>
      <c r="AY14" s="4"/>
    </row>
    <row r="15" spans="1:61" ht="15" customHeight="1" x14ac:dyDescent="0.25">
      <c r="A15" t="s">
        <v>81</v>
      </c>
      <c r="B15" t="s">
        <v>81</v>
      </c>
      <c r="C15" t="s">
        <v>132</v>
      </c>
      <c r="D15" t="s">
        <v>104</v>
      </c>
      <c r="E15" t="s">
        <v>118</v>
      </c>
      <c r="F15" t="s">
        <v>118</v>
      </c>
      <c r="G15" t="s">
        <v>73</v>
      </c>
      <c r="H15" t="s">
        <v>81</v>
      </c>
      <c r="I15" t="s">
        <v>88</v>
      </c>
      <c r="J15" t="s">
        <v>89</v>
      </c>
      <c r="K15" t="s">
        <v>134</v>
      </c>
      <c r="L15" t="s">
        <v>97</v>
      </c>
      <c r="M15" t="s">
        <v>128</v>
      </c>
      <c r="N15" t="s">
        <v>104</v>
      </c>
      <c r="O15" t="s">
        <v>97</v>
      </c>
      <c r="P15" t="s">
        <v>97</v>
      </c>
      <c r="Q15" t="s">
        <v>73</v>
      </c>
      <c r="R15" t="s">
        <v>114</v>
      </c>
      <c r="S15" t="s">
        <v>131</v>
      </c>
      <c r="T15" t="s">
        <v>121</v>
      </c>
      <c r="U15" t="s">
        <v>98</v>
      </c>
      <c r="V15" t="s">
        <v>89</v>
      </c>
      <c r="W15" t="s">
        <v>114</v>
      </c>
      <c r="X15" t="s">
        <v>83</v>
      </c>
      <c r="Y15" t="s">
        <v>91</v>
      </c>
      <c r="Z15" t="s">
        <v>79</v>
      </c>
      <c r="AA15" t="s">
        <v>97</v>
      </c>
      <c r="AB15" t="s">
        <v>105</v>
      </c>
      <c r="AC15" t="s">
        <v>118</v>
      </c>
      <c r="AD15" t="s">
        <v>97</v>
      </c>
      <c r="AE15" t="s">
        <v>121</v>
      </c>
      <c r="AF15" t="s">
        <v>79</v>
      </c>
      <c r="AG15" t="s">
        <v>79</v>
      </c>
      <c r="AH15" t="s">
        <v>137</v>
      </c>
      <c r="AI15" t="s">
        <v>83</v>
      </c>
      <c r="AJ15" t="s">
        <v>137</v>
      </c>
      <c r="AK15" t="s">
        <v>121</v>
      </c>
      <c r="AL15" t="s">
        <v>100</v>
      </c>
      <c r="AM15" t="s">
        <v>121</v>
      </c>
      <c r="AN15" t="s">
        <v>115</v>
      </c>
      <c r="AO15" t="s">
        <v>115</v>
      </c>
      <c r="AP15" t="s">
        <v>128</v>
      </c>
      <c r="AQ15" t="s">
        <v>122</v>
      </c>
      <c r="AR15" t="s">
        <v>110</v>
      </c>
      <c r="AS15" t="s">
        <v>129</v>
      </c>
      <c r="AT15" t="s">
        <v>115</v>
      </c>
      <c r="AU15" t="s">
        <v>80</v>
      </c>
      <c r="AV15" s="4"/>
      <c r="AX15" s="4"/>
    </row>
    <row r="16" spans="1:61" ht="15" customHeight="1" x14ac:dyDescent="0.25">
      <c r="A16" t="s">
        <v>88</v>
      </c>
      <c r="B16" t="s">
        <v>132</v>
      </c>
      <c r="C16" t="s">
        <v>102</v>
      </c>
      <c r="D16" t="s">
        <v>127</v>
      </c>
      <c r="E16" t="s">
        <v>102</v>
      </c>
      <c r="F16" t="s">
        <v>98</v>
      </c>
      <c r="G16" t="s">
        <v>121</v>
      </c>
      <c r="H16" t="s">
        <v>88</v>
      </c>
      <c r="I16" s="4" t="s">
        <v>134</v>
      </c>
      <c r="J16" t="s">
        <v>118</v>
      </c>
      <c r="K16" t="s">
        <v>97</v>
      </c>
      <c r="L16" t="s">
        <v>90</v>
      </c>
      <c r="M16" t="s">
        <v>99</v>
      </c>
      <c r="N16" t="s">
        <v>131</v>
      </c>
      <c r="O16" t="s">
        <v>121</v>
      </c>
      <c r="P16" t="s">
        <v>90</v>
      </c>
      <c r="Q16" t="s">
        <v>105</v>
      </c>
      <c r="R16" t="s">
        <v>105</v>
      </c>
      <c r="S16" t="s">
        <v>105</v>
      </c>
      <c r="T16" t="s">
        <v>105</v>
      </c>
      <c r="U16" t="s">
        <v>87</v>
      </c>
      <c r="V16" t="s">
        <v>128</v>
      </c>
      <c r="W16" t="s">
        <v>90</v>
      </c>
      <c r="X16" t="s">
        <v>105</v>
      </c>
      <c r="Y16" t="s">
        <v>90</v>
      </c>
      <c r="Z16" t="s">
        <v>99</v>
      </c>
      <c r="AA16" t="s">
        <v>90</v>
      </c>
      <c r="AB16" t="s">
        <v>128</v>
      </c>
      <c r="AC16" t="s">
        <v>121</v>
      </c>
      <c r="AD16" s="4" t="s">
        <v>113</v>
      </c>
      <c r="AE16" t="s">
        <v>105</v>
      </c>
      <c r="AF16" t="s">
        <v>110</v>
      </c>
      <c r="AG16" t="s">
        <v>101</v>
      </c>
      <c r="AH16" t="s">
        <v>105</v>
      </c>
      <c r="AI16" t="s">
        <v>99</v>
      </c>
      <c r="AJ16" t="s">
        <v>110</v>
      </c>
      <c r="AK16" t="s">
        <v>110</v>
      </c>
      <c r="AL16" t="s">
        <v>110</v>
      </c>
      <c r="AM16" t="s">
        <v>122</v>
      </c>
      <c r="AN16" t="s">
        <v>116</v>
      </c>
      <c r="AO16" t="s">
        <v>106</v>
      </c>
      <c r="AP16" t="s">
        <v>99</v>
      </c>
      <c r="AQ16" t="s">
        <v>111</v>
      </c>
      <c r="AR16" t="s">
        <v>115</v>
      </c>
      <c r="AS16" t="s">
        <v>80</v>
      </c>
      <c r="AT16" t="s">
        <v>106</v>
      </c>
      <c r="AU16" t="s">
        <v>107</v>
      </c>
      <c r="AW16" s="4"/>
    </row>
    <row r="17" spans="1:52" ht="15" customHeight="1" x14ac:dyDescent="0.25">
      <c r="A17" t="s">
        <v>97</v>
      </c>
      <c r="B17" t="s">
        <v>98</v>
      </c>
      <c r="C17" t="s">
        <v>98</v>
      </c>
      <c r="D17" t="s">
        <v>73</v>
      </c>
      <c r="E17" t="s">
        <v>127</v>
      </c>
      <c r="F17" t="s">
        <v>97</v>
      </c>
      <c r="G17" t="s">
        <v>105</v>
      </c>
      <c r="H17" t="s">
        <v>90</v>
      </c>
      <c r="I17" t="s">
        <v>118</v>
      </c>
      <c r="J17" t="s">
        <v>102</v>
      </c>
      <c r="K17" t="s">
        <v>90</v>
      </c>
      <c r="L17" t="s">
        <v>83</v>
      </c>
      <c r="M17" t="s">
        <v>110</v>
      </c>
      <c r="N17" t="s">
        <v>130</v>
      </c>
      <c r="O17" t="s">
        <v>105</v>
      </c>
      <c r="P17" t="s">
        <v>83</v>
      </c>
      <c r="Q17" t="s">
        <v>128</v>
      </c>
      <c r="R17" t="s">
        <v>100</v>
      </c>
      <c r="S17" s="4" t="s">
        <v>128</v>
      </c>
      <c r="T17" t="s">
        <v>113</v>
      </c>
      <c r="U17" t="s">
        <v>90</v>
      </c>
      <c r="V17" t="s">
        <v>79</v>
      </c>
      <c r="W17" t="s">
        <v>83</v>
      </c>
      <c r="X17" t="s">
        <v>128</v>
      </c>
      <c r="Y17" t="s">
        <v>83</v>
      </c>
      <c r="Z17" t="s">
        <v>101</v>
      </c>
      <c r="AA17" t="s">
        <v>83</v>
      </c>
      <c r="AB17" t="s">
        <v>110</v>
      </c>
      <c r="AC17" s="4" t="s">
        <v>138</v>
      </c>
      <c r="AD17" t="s">
        <v>121</v>
      </c>
      <c r="AE17" t="s">
        <v>100</v>
      </c>
      <c r="AF17" t="s">
        <v>136</v>
      </c>
      <c r="AG17" t="s">
        <v>121</v>
      </c>
      <c r="AH17" t="s">
        <v>100</v>
      </c>
      <c r="AI17" t="s">
        <v>122</v>
      </c>
      <c r="AJ17" t="s">
        <v>136</v>
      </c>
      <c r="AK17" t="s">
        <v>135</v>
      </c>
      <c r="AL17" t="s">
        <v>93</v>
      </c>
      <c r="AM17" t="s">
        <v>115</v>
      </c>
      <c r="AN17" t="s">
        <v>80</v>
      </c>
      <c r="AO17" t="s">
        <v>129</v>
      </c>
      <c r="AP17" t="s">
        <v>110</v>
      </c>
      <c r="AQ17" t="s">
        <v>139</v>
      </c>
      <c r="AR17" t="s">
        <v>111</v>
      </c>
      <c r="AS17" t="s">
        <v>107</v>
      </c>
      <c r="AT17" t="s">
        <v>80</v>
      </c>
      <c r="AU17" t="s">
        <v>140</v>
      </c>
    </row>
    <row r="18" spans="1:52" ht="15" customHeight="1" x14ac:dyDescent="0.25">
      <c r="A18" t="s">
        <v>121</v>
      </c>
      <c r="B18" t="s">
        <v>97</v>
      </c>
      <c r="C18" t="s">
        <v>104</v>
      </c>
      <c r="D18" t="s">
        <v>123</v>
      </c>
      <c r="E18" s="4" t="s">
        <v>90</v>
      </c>
      <c r="F18" t="s">
        <v>73</v>
      </c>
      <c r="G18" s="4" t="s">
        <v>98</v>
      </c>
      <c r="H18" t="s">
        <v>128</v>
      </c>
      <c r="I18" t="s">
        <v>121</v>
      </c>
      <c r="J18" t="s">
        <v>127</v>
      </c>
      <c r="K18" t="s">
        <v>83</v>
      </c>
      <c r="L18" t="s">
        <v>100</v>
      </c>
      <c r="M18" t="s">
        <v>125</v>
      </c>
      <c r="N18" t="s">
        <v>90</v>
      </c>
      <c r="O18" t="s">
        <v>83</v>
      </c>
      <c r="P18" t="s">
        <v>128</v>
      </c>
      <c r="Q18" t="s">
        <v>99</v>
      </c>
      <c r="R18" t="s">
        <v>79</v>
      </c>
      <c r="S18" t="s">
        <v>110</v>
      </c>
      <c r="T18" t="s">
        <v>97</v>
      </c>
      <c r="U18" t="s">
        <v>83</v>
      </c>
      <c r="V18" t="s">
        <v>110</v>
      </c>
      <c r="W18" t="s">
        <v>99</v>
      </c>
      <c r="X18" t="s">
        <v>110</v>
      </c>
      <c r="Y18" t="s">
        <v>79</v>
      </c>
      <c r="Z18" t="s">
        <v>121</v>
      </c>
      <c r="AA18" t="s">
        <v>128</v>
      </c>
      <c r="AB18" t="s">
        <v>141</v>
      </c>
      <c r="AC18" t="s">
        <v>100</v>
      </c>
      <c r="AD18" t="s">
        <v>105</v>
      </c>
      <c r="AE18" t="s">
        <v>128</v>
      </c>
      <c r="AF18" t="s">
        <v>93</v>
      </c>
      <c r="AG18" t="s">
        <v>106</v>
      </c>
      <c r="AH18" t="s">
        <v>99</v>
      </c>
      <c r="AI18" t="s">
        <v>135</v>
      </c>
      <c r="AJ18" t="s">
        <v>143</v>
      </c>
      <c r="AK18" t="s">
        <v>106</v>
      </c>
      <c r="AL18" t="s">
        <v>122</v>
      </c>
      <c r="AM18" t="s">
        <v>111</v>
      </c>
      <c r="AN18" t="s">
        <v>142</v>
      </c>
      <c r="AO18" t="s">
        <v>80</v>
      </c>
      <c r="AQ18" t="s">
        <v>80</v>
      </c>
      <c r="AZ18" s="4"/>
    </row>
    <row r="19" spans="1:52" ht="15" customHeight="1" x14ac:dyDescent="0.25">
      <c r="A19" t="s">
        <v>105</v>
      </c>
      <c r="B19" t="s">
        <v>89</v>
      </c>
      <c r="C19" t="s">
        <v>90</v>
      </c>
      <c r="D19" s="4" t="s">
        <v>83</v>
      </c>
      <c r="E19" t="s">
        <v>83</v>
      </c>
      <c r="F19" t="s">
        <v>109</v>
      </c>
      <c r="G19" t="s">
        <v>100</v>
      </c>
      <c r="H19" t="s">
        <v>99</v>
      </c>
      <c r="I19" t="s">
        <v>105</v>
      </c>
      <c r="J19" t="s">
        <v>86</v>
      </c>
      <c r="K19" t="s">
        <v>138</v>
      </c>
      <c r="L19" t="s">
        <v>128</v>
      </c>
      <c r="M19" t="s">
        <v>130</v>
      </c>
      <c r="N19" t="s">
        <v>83</v>
      </c>
      <c r="O19" t="s">
        <v>99</v>
      </c>
      <c r="P19" t="s">
        <v>99</v>
      </c>
      <c r="Q19" t="s">
        <v>101</v>
      </c>
      <c r="R19" t="s">
        <v>99</v>
      </c>
      <c r="S19" t="s">
        <v>125</v>
      </c>
      <c r="T19" t="s">
        <v>128</v>
      </c>
      <c r="U19" t="s">
        <v>128</v>
      </c>
      <c r="V19" t="s">
        <v>135</v>
      </c>
      <c r="W19" t="s">
        <v>101</v>
      </c>
      <c r="X19" t="s">
        <v>125</v>
      </c>
      <c r="Y19" t="s">
        <v>110</v>
      </c>
      <c r="Z19" t="s">
        <v>100</v>
      </c>
      <c r="AA19" t="s">
        <v>99</v>
      </c>
      <c r="AB19" t="s">
        <v>90</v>
      </c>
      <c r="AC19" t="s">
        <v>99</v>
      </c>
      <c r="AD19" t="s">
        <v>101</v>
      </c>
      <c r="AE19" t="s">
        <v>101</v>
      </c>
      <c r="AF19" t="s">
        <v>122</v>
      </c>
      <c r="AG19" t="s">
        <v>122</v>
      </c>
      <c r="AH19" t="s">
        <v>110</v>
      </c>
      <c r="AI19" t="s">
        <v>101</v>
      </c>
      <c r="AJ19" t="s">
        <v>116</v>
      </c>
      <c r="AK19" s="4" t="s">
        <v>111</v>
      </c>
      <c r="AL19" t="s">
        <v>116</v>
      </c>
      <c r="AM19" t="s">
        <v>80</v>
      </c>
      <c r="AN19" t="s">
        <v>140</v>
      </c>
    </row>
    <row r="20" spans="1:52" ht="15" customHeight="1" x14ac:dyDescent="0.25">
      <c r="A20" t="s">
        <v>79</v>
      </c>
      <c r="B20" t="s">
        <v>118</v>
      </c>
      <c r="C20" t="s">
        <v>83</v>
      </c>
      <c r="D20" t="s">
        <v>121</v>
      </c>
      <c r="E20" t="s">
        <v>137</v>
      </c>
      <c r="F20" t="s">
        <v>90</v>
      </c>
      <c r="G20" t="s">
        <v>79</v>
      </c>
      <c r="H20" s="4" t="s">
        <v>110</v>
      </c>
      <c r="I20" t="s">
        <v>138</v>
      </c>
      <c r="J20" s="4" t="s">
        <v>123</v>
      </c>
      <c r="K20" t="s">
        <v>128</v>
      </c>
      <c r="L20" t="s">
        <v>79</v>
      </c>
      <c r="M20" t="s">
        <v>83</v>
      </c>
      <c r="N20" t="s">
        <v>128</v>
      </c>
      <c r="O20" t="s">
        <v>141</v>
      </c>
      <c r="P20" t="s">
        <v>110</v>
      </c>
      <c r="Q20" t="s">
        <v>121</v>
      </c>
      <c r="R20" t="s">
        <v>101</v>
      </c>
      <c r="S20" t="s">
        <v>83</v>
      </c>
      <c r="T20" t="s">
        <v>110</v>
      </c>
      <c r="U20" t="s">
        <v>110</v>
      </c>
      <c r="V20" t="s">
        <v>137</v>
      </c>
      <c r="W20" s="4" t="s">
        <v>136</v>
      </c>
      <c r="X20" t="s">
        <v>135</v>
      </c>
      <c r="Y20" t="s">
        <v>144</v>
      </c>
      <c r="Z20" t="s">
        <v>135</v>
      </c>
      <c r="AA20" t="s">
        <v>101</v>
      </c>
      <c r="AB20" t="s">
        <v>115</v>
      </c>
      <c r="AC20" t="s">
        <v>101</v>
      </c>
      <c r="AD20" t="s">
        <v>136</v>
      </c>
      <c r="AE20" t="s">
        <v>115</v>
      </c>
      <c r="AF20" t="s">
        <v>116</v>
      </c>
      <c r="AG20" t="s">
        <v>111</v>
      </c>
      <c r="AH20" t="s">
        <v>144</v>
      </c>
      <c r="AI20" t="s">
        <v>106</v>
      </c>
      <c r="AJ20" t="s">
        <v>111</v>
      </c>
      <c r="AK20" t="s">
        <v>107</v>
      </c>
      <c r="AL20" t="s">
        <v>80</v>
      </c>
      <c r="AM20" t="s">
        <v>133</v>
      </c>
    </row>
    <row r="21" spans="1:52" ht="15" customHeight="1" x14ac:dyDescent="0.25">
      <c r="A21" t="s">
        <v>99</v>
      </c>
      <c r="B21" t="s">
        <v>90</v>
      </c>
      <c r="C21" t="s">
        <v>88</v>
      </c>
      <c r="D21" t="s">
        <v>131</v>
      </c>
      <c r="E21" t="s">
        <v>100</v>
      </c>
      <c r="F21" t="s">
        <v>83</v>
      </c>
      <c r="G21" t="s">
        <v>99</v>
      </c>
      <c r="H21" t="s">
        <v>125</v>
      </c>
      <c r="I21" t="s">
        <v>128</v>
      </c>
      <c r="J21" t="s">
        <v>100</v>
      </c>
      <c r="K21" t="s">
        <v>99</v>
      </c>
      <c r="L21" t="s">
        <v>99</v>
      </c>
      <c r="M21" t="s">
        <v>93</v>
      </c>
      <c r="N21" t="s">
        <v>99</v>
      </c>
      <c r="O21" t="s">
        <v>93</v>
      </c>
      <c r="P21" t="s">
        <v>141</v>
      </c>
      <c r="Q21" t="s">
        <v>100</v>
      </c>
      <c r="R21" t="s">
        <v>93</v>
      </c>
      <c r="S21" t="s">
        <v>122</v>
      </c>
      <c r="T21" t="s">
        <v>125</v>
      </c>
      <c r="U21" s="4" t="s">
        <v>125</v>
      </c>
      <c r="V21" t="s">
        <v>106</v>
      </c>
      <c r="W21" t="s">
        <v>93</v>
      </c>
      <c r="X21" t="s">
        <v>106</v>
      </c>
      <c r="Y21" t="s">
        <v>93</v>
      </c>
      <c r="Z21" t="s">
        <v>106</v>
      </c>
      <c r="AA21" t="s">
        <v>116</v>
      </c>
      <c r="AB21" t="s">
        <v>106</v>
      </c>
      <c r="AC21" t="s">
        <v>135</v>
      </c>
      <c r="AD21" t="s">
        <v>115</v>
      </c>
      <c r="AE21" t="s">
        <v>106</v>
      </c>
      <c r="AF21" t="s">
        <v>146</v>
      </c>
      <c r="AG21" t="s">
        <v>107</v>
      </c>
      <c r="AH21" t="s">
        <v>116</v>
      </c>
      <c r="AI21" t="s">
        <v>129</v>
      </c>
      <c r="AJ21" t="s">
        <v>107</v>
      </c>
      <c r="AK21" t="s">
        <v>145</v>
      </c>
      <c r="AL21" t="s">
        <v>145</v>
      </c>
      <c r="AO21" s="4"/>
    </row>
    <row r="22" spans="1:52" ht="15" customHeight="1" x14ac:dyDescent="0.25">
      <c r="A22" t="s">
        <v>101</v>
      </c>
      <c r="B22" s="4" t="s">
        <v>83</v>
      </c>
      <c r="C22" s="4" t="s">
        <v>134</v>
      </c>
      <c r="D22" t="s">
        <v>100</v>
      </c>
      <c r="E22" t="s">
        <v>79</v>
      </c>
      <c r="F22" t="s">
        <v>100</v>
      </c>
      <c r="G22" t="s">
        <v>141</v>
      </c>
      <c r="H22" t="s">
        <v>83</v>
      </c>
      <c r="I22" t="s">
        <v>79</v>
      </c>
      <c r="J22" t="s">
        <v>79</v>
      </c>
      <c r="K22" t="s">
        <v>101</v>
      </c>
      <c r="L22" t="s">
        <v>101</v>
      </c>
      <c r="M22" t="s">
        <v>137</v>
      </c>
      <c r="N22" s="4" t="s">
        <v>101</v>
      </c>
      <c r="O22" t="s">
        <v>135</v>
      </c>
      <c r="P22" t="s">
        <v>93</v>
      </c>
      <c r="Q22" t="s">
        <v>135</v>
      </c>
      <c r="R22" t="s">
        <v>147</v>
      </c>
      <c r="S22" t="s">
        <v>100</v>
      </c>
      <c r="T22" t="s">
        <v>90</v>
      </c>
      <c r="U22" t="s">
        <v>122</v>
      </c>
      <c r="V22" t="s">
        <v>93</v>
      </c>
      <c r="W22" t="s">
        <v>106</v>
      </c>
      <c r="X22" s="4" t="s">
        <v>115</v>
      </c>
      <c r="Y22" t="s">
        <v>106</v>
      </c>
      <c r="Z22" t="s">
        <v>129</v>
      </c>
      <c r="AA22" s="4" t="s">
        <v>107</v>
      </c>
      <c r="AB22" t="s">
        <v>101</v>
      </c>
      <c r="AC22" t="s">
        <v>115</v>
      </c>
      <c r="AD22" t="s">
        <v>106</v>
      </c>
      <c r="AE22" t="s">
        <v>107</v>
      </c>
      <c r="AF22" t="s">
        <v>80</v>
      </c>
      <c r="AG22" s="4" t="s">
        <v>139</v>
      </c>
      <c r="AH22" t="s">
        <v>139</v>
      </c>
      <c r="AI22" t="s">
        <v>145</v>
      </c>
      <c r="AJ22" t="s">
        <v>133</v>
      </c>
      <c r="AN22" s="4"/>
    </row>
    <row r="23" spans="1:52" ht="15" customHeight="1" x14ac:dyDescent="0.25">
      <c r="A23" s="4" t="s">
        <v>136</v>
      </c>
      <c r="B23" t="s">
        <v>138</v>
      </c>
      <c r="C23" t="s">
        <v>100</v>
      </c>
      <c r="D23" t="s">
        <v>79</v>
      </c>
      <c r="E23" t="s">
        <v>110</v>
      </c>
      <c r="F23" t="s">
        <v>79</v>
      </c>
      <c r="G23" t="s">
        <v>147</v>
      </c>
      <c r="H23" t="s">
        <v>115</v>
      </c>
      <c r="I23" t="s">
        <v>99</v>
      </c>
      <c r="J23" t="s">
        <v>135</v>
      </c>
      <c r="K23" t="s">
        <v>147</v>
      </c>
      <c r="L23" t="s">
        <v>135</v>
      </c>
      <c r="M23" t="s">
        <v>106</v>
      </c>
      <c r="N23" t="s">
        <v>93</v>
      </c>
      <c r="O23" s="4" t="s">
        <v>122</v>
      </c>
      <c r="P23" t="s">
        <v>122</v>
      </c>
      <c r="Q23" t="s">
        <v>115</v>
      </c>
      <c r="R23" s="4" t="s">
        <v>129</v>
      </c>
      <c r="S23" t="s">
        <v>116</v>
      </c>
      <c r="T23" t="s">
        <v>115</v>
      </c>
      <c r="U23" t="s">
        <v>137</v>
      </c>
      <c r="V23" s="4" t="s">
        <v>111</v>
      </c>
      <c r="W23" t="s">
        <v>122</v>
      </c>
      <c r="X23" t="s">
        <v>116</v>
      </c>
      <c r="Y23" t="s">
        <v>146</v>
      </c>
      <c r="Z23" s="4" t="s">
        <v>142</v>
      </c>
      <c r="AA23" t="s">
        <v>139</v>
      </c>
      <c r="AB23" s="4" t="s">
        <v>111</v>
      </c>
      <c r="AC23" t="s">
        <v>122</v>
      </c>
      <c r="AD23" t="s">
        <v>116</v>
      </c>
      <c r="AE23" t="s">
        <v>142</v>
      </c>
      <c r="AF23" t="s">
        <v>145</v>
      </c>
      <c r="AT23" s="4"/>
    </row>
    <row r="24" spans="1:52" ht="15" customHeight="1" x14ac:dyDescent="0.25">
      <c r="A24" t="s">
        <v>100</v>
      </c>
      <c r="B24" t="s">
        <v>100</v>
      </c>
      <c r="C24" t="s">
        <v>79</v>
      </c>
      <c r="D24" t="s">
        <v>110</v>
      </c>
      <c r="E24" t="s">
        <v>101</v>
      </c>
      <c r="F24" t="s">
        <v>110</v>
      </c>
      <c r="G24" t="s">
        <v>122</v>
      </c>
      <c r="H24" t="s">
        <v>122</v>
      </c>
      <c r="I24" t="s">
        <v>101</v>
      </c>
      <c r="J24" t="s">
        <v>93</v>
      </c>
      <c r="K24" t="s">
        <v>144</v>
      </c>
      <c r="L24" t="s">
        <v>115</v>
      </c>
      <c r="M24" t="s">
        <v>122</v>
      </c>
      <c r="N24" t="s">
        <v>111</v>
      </c>
      <c r="O24" t="s">
        <v>111</v>
      </c>
      <c r="P24" t="s">
        <v>111</v>
      </c>
      <c r="Q24" s="4" t="s">
        <v>129</v>
      </c>
      <c r="R24" t="s">
        <v>124</v>
      </c>
      <c r="S24" t="s">
        <v>107</v>
      </c>
      <c r="T24" t="s">
        <v>106</v>
      </c>
      <c r="U24" t="s">
        <v>111</v>
      </c>
      <c r="V24" t="s">
        <v>107</v>
      </c>
      <c r="W24" t="s">
        <v>129</v>
      </c>
      <c r="X24" t="s">
        <v>107</v>
      </c>
      <c r="Y24" t="s">
        <v>80</v>
      </c>
      <c r="Z24" t="s">
        <v>107</v>
      </c>
      <c r="AA24" t="s">
        <v>129</v>
      </c>
      <c r="AB24" t="s">
        <v>80</v>
      </c>
      <c r="AC24" t="s">
        <v>124</v>
      </c>
      <c r="AD24" t="s">
        <v>133</v>
      </c>
      <c r="AE24" t="s">
        <v>140</v>
      </c>
      <c r="AS24" s="4"/>
    </row>
    <row r="25" spans="1:52" ht="15" customHeight="1" x14ac:dyDescent="0.25">
      <c r="A25" t="s">
        <v>83</v>
      </c>
      <c r="B25" t="s">
        <v>128</v>
      </c>
      <c r="C25" t="s">
        <v>99</v>
      </c>
      <c r="D25" t="s">
        <v>135</v>
      </c>
      <c r="E25" t="s">
        <v>93</v>
      </c>
      <c r="F25" t="s">
        <v>136</v>
      </c>
      <c r="G25" t="s">
        <v>106</v>
      </c>
      <c r="H25" t="s">
        <v>79</v>
      </c>
      <c r="I25" t="s">
        <v>135</v>
      </c>
      <c r="J25" t="s">
        <v>122</v>
      </c>
      <c r="K25" t="s">
        <v>122</v>
      </c>
      <c r="L25" t="s">
        <v>137</v>
      </c>
      <c r="M25" t="s">
        <v>111</v>
      </c>
      <c r="N25" t="s">
        <v>80</v>
      </c>
      <c r="O25" t="s">
        <v>129</v>
      </c>
      <c r="P25" t="s">
        <v>142</v>
      </c>
      <c r="Q25" t="s">
        <v>107</v>
      </c>
      <c r="R25" t="s">
        <v>80</v>
      </c>
      <c r="S25" t="s">
        <v>139</v>
      </c>
      <c r="T25" t="s">
        <v>146</v>
      </c>
      <c r="U25" t="s">
        <v>107</v>
      </c>
      <c r="V25" t="s">
        <v>103</v>
      </c>
      <c r="W25" t="s">
        <v>111</v>
      </c>
      <c r="X25" t="s">
        <v>80</v>
      </c>
      <c r="Y25" t="s">
        <v>145</v>
      </c>
      <c r="Z25" t="s">
        <v>148</v>
      </c>
      <c r="AA25" t="s">
        <v>148</v>
      </c>
      <c r="AB25" t="s">
        <v>133</v>
      </c>
      <c r="AC25" t="s">
        <v>129</v>
      </c>
      <c r="AR25" s="4"/>
    </row>
    <row r="26" spans="1:52" ht="15.75" customHeight="1" x14ac:dyDescent="0.25">
      <c r="A26" t="s">
        <v>135</v>
      </c>
      <c r="B26" t="s">
        <v>79</v>
      </c>
      <c r="C26" t="s">
        <v>101</v>
      </c>
      <c r="D26" t="s">
        <v>93</v>
      </c>
      <c r="E26" t="s">
        <v>143</v>
      </c>
      <c r="F26" t="s">
        <v>135</v>
      </c>
      <c r="G26" t="s">
        <v>125</v>
      </c>
      <c r="H26" t="s">
        <v>106</v>
      </c>
      <c r="I26" t="s">
        <v>106</v>
      </c>
      <c r="J26" t="s">
        <v>143</v>
      </c>
      <c r="K26" t="s">
        <v>129</v>
      </c>
      <c r="L26" t="s">
        <v>122</v>
      </c>
      <c r="M26" s="4" t="s">
        <v>107</v>
      </c>
      <c r="N26" t="s">
        <v>139</v>
      </c>
      <c r="O26" t="s">
        <v>80</v>
      </c>
      <c r="P26" t="s">
        <v>107</v>
      </c>
      <c r="Q26" t="s">
        <v>139</v>
      </c>
      <c r="R26" t="s">
        <v>139</v>
      </c>
      <c r="S26" t="s">
        <v>129</v>
      </c>
      <c r="T26" s="4" t="s">
        <v>139</v>
      </c>
      <c r="U26" t="s">
        <v>80</v>
      </c>
      <c r="V26" t="s">
        <v>133</v>
      </c>
      <c r="W26" t="s">
        <v>139</v>
      </c>
      <c r="AJ26" s="4"/>
    </row>
    <row r="27" spans="1:52" ht="15" customHeight="1" x14ac:dyDescent="0.25">
      <c r="A27" t="s">
        <v>115</v>
      </c>
      <c r="B27" t="s">
        <v>110</v>
      </c>
      <c r="C27" t="s">
        <v>135</v>
      </c>
      <c r="D27" t="s">
        <v>122</v>
      </c>
      <c r="E27" t="s">
        <v>122</v>
      </c>
      <c r="F27" t="s">
        <v>106</v>
      </c>
      <c r="G27" t="s">
        <v>111</v>
      </c>
      <c r="H27" t="s">
        <v>137</v>
      </c>
      <c r="I27" t="s">
        <v>129</v>
      </c>
      <c r="J27" t="s">
        <v>125</v>
      </c>
      <c r="K27" t="s">
        <v>116</v>
      </c>
      <c r="L27" t="s">
        <v>111</v>
      </c>
      <c r="M27" t="s">
        <v>139</v>
      </c>
      <c r="N27" t="s">
        <v>116</v>
      </c>
      <c r="O27" t="s">
        <v>107</v>
      </c>
      <c r="P27" s="4" t="s">
        <v>148</v>
      </c>
      <c r="Q27" t="s">
        <v>140</v>
      </c>
      <c r="R27" t="s">
        <v>140</v>
      </c>
      <c r="S27" t="s">
        <v>140</v>
      </c>
      <c r="T27" t="s">
        <v>148</v>
      </c>
      <c r="AQ27" s="4"/>
      <c r="AU27" s="4"/>
    </row>
    <row r="28" spans="1:52" ht="15" customHeight="1" x14ac:dyDescent="0.25">
      <c r="A28" t="s">
        <v>122</v>
      </c>
      <c r="B28" t="s">
        <v>136</v>
      </c>
      <c r="C28" t="s">
        <v>147</v>
      </c>
      <c r="D28" t="s">
        <v>143</v>
      </c>
      <c r="E28" t="s">
        <v>111</v>
      </c>
      <c r="F28" t="s">
        <v>101</v>
      </c>
      <c r="G28" t="s">
        <v>129</v>
      </c>
      <c r="H28" t="s">
        <v>129</v>
      </c>
      <c r="I28" t="s">
        <v>80</v>
      </c>
      <c r="J28" t="s">
        <v>111</v>
      </c>
      <c r="K28" t="s">
        <v>80</v>
      </c>
      <c r="L28" t="s">
        <v>107</v>
      </c>
      <c r="M28" t="s">
        <v>80</v>
      </c>
      <c r="N28" t="s">
        <v>149</v>
      </c>
      <c r="O28" t="s">
        <v>139</v>
      </c>
      <c r="AM28" s="4"/>
    </row>
    <row r="29" spans="1:52" ht="15" customHeight="1" x14ac:dyDescent="0.25">
      <c r="A29" t="s">
        <v>106</v>
      </c>
      <c r="B29" t="s">
        <v>144</v>
      </c>
      <c r="C29" t="s">
        <v>115</v>
      </c>
      <c r="D29" t="s">
        <v>99</v>
      </c>
      <c r="E29" t="s">
        <v>129</v>
      </c>
      <c r="F29" t="s">
        <v>116</v>
      </c>
      <c r="G29" t="s">
        <v>107</v>
      </c>
      <c r="H29" t="s">
        <v>80</v>
      </c>
      <c r="I29" t="s">
        <v>139</v>
      </c>
      <c r="J29" t="s">
        <v>80</v>
      </c>
      <c r="K29" t="s">
        <v>107</v>
      </c>
      <c r="L29" t="s">
        <v>139</v>
      </c>
      <c r="Y29" s="4"/>
      <c r="AP29" s="4"/>
    </row>
    <row r="30" spans="1:52" ht="15" customHeight="1" x14ac:dyDescent="0.25">
      <c r="A30" t="s">
        <v>116</v>
      </c>
      <c r="B30" t="s">
        <v>115</v>
      </c>
      <c r="C30" t="s">
        <v>106</v>
      </c>
      <c r="D30" t="s">
        <v>116</v>
      </c>
      <c r="E30" t="s">
        <v>80</v>
      </c>
      <c r="F30" t="s">
        <v>103</v>
      </c>
      <c r="G30" t="s">
        <v>139</v>
      </c>
      <c r="H30" t="s">
        <v>133</v>
      </c>
      <c r="I30" t="s">
        <v>140</v>
      </c>
      <c r="J30" t="s">
        <v>145</v>
      </c>
      <c r="K30" t="s">
        <v>142</v>
      </c>
      <c r="AI30" s="4"/>
    </row>
    <row r="31" spans="1:52" ht="15" customHeight="1" x14ac:dyDescent="0.25">
      <c r="A31" t="s">
        <v>129</v>
      </c>
      <c r="B31" t="s">
        <v>122</v>
      </c>
      <c r="C31" t="s">
        <v>116</v>
      </c>
      <c r="D31" t="s">
        <v>129</v>
      </c>
      <c r="E31" t="s">
        <v>146</v>
      </c>
      <c r="F31" t="s">
        <v>149</v>
      </c>
      <c r="G31" t="s">
        <v>140</v>
      </c>
      <c r="AL31" s="4"/>
    </row>
    <row r="32" spans="1:52" ht="15" customHeight="1" x14ac:dyDescent="0.25">
      <c r="A32" t="s">
        <v>111</v>
      </c>
      <c r="B32" t="s">
        <v>124</v>
      </c>
      <c r="C32" t="s">
        <v>142</v>
      </c>
      <c r="D32" t="s">
        <v>139</v>
      </c>
      <c r="E32" t="s">
        <v>142</v>
      </c>
      <c r="F32" t="s">
        <v>148</v>
      </c>
    </row>
    <row r="33" spans="1:5" ht="15" customHeight="1" x14ac:dyDescent="0.25">
      <c r="A33" t="s">
        <v>80</v>
      </c>
      <c r="B33" t="s">
        <v>129</v>
      </c>
      <c r="C33" t="s">
        <v>148</v>
      </c>
      <c r="D33" t="s">
        <v>145</v>
      </c>
      <c r="E33" t="s">
        <v>145</v>
      </c>
    </row>
    <row r="34" spans="1:5" ht="15" customHeight="1" x14ac:dyDescent="0.25">
      <c r="A34" t="s">
        <v>142</v>
      </c>
      <c r="B34" t="s">
        <v>103</v>
      </c>
    </row>
    <row r="35" spans="1:5" ht="15" customHeight="1" x14ac:dyDescent="0.25">
      <c r="A35" t="s">
        <v>149</v>
      </c>
      <c r="B35" t="s">
        <v>133</v>
      </c>
    </row>
    <row r="36" spans="1:5" ht="15" customHeight="1" x14ac:dyDescent="0.25">
      <c r="A36" t="s">
        <v>107</v>
      </c>
      <c r="B36" t="s">
        <v>149</v>
      </c>
    </row>
    <row r="37" spans="1:5" ht="15" customHeight="1" x14ac:dyDescent="0.25">
      <c r="A37" t="s">
        <v>148</v>
      </c>
      <c r="B37" t="s">
        <v>148</v>
      </c>
    </row>
    <row r="38" spans="1:5" ht="15" customHeight="1" x14ac:dyDescent="0.25"/>
    <row r="39" spans="1:5" ht="15" customHeight="1" x14ac:dyDescent="0.25"/>
    <row r="40" spans="1:5" ht="15" customHeight="1" x14ac:dyDescent="0.25"/>
    <row r="41" spans="1:5" ht="15" customHeight="1" x14ac:dyDescent="0.25"/>
    <row r="42" spans="1:5" ht="15" customHeight="1" x14ac:dyDescent="0.25"/>
    <row r="43" spans="1:5" ht="15" customHeight="1" x14ac:dyDescent="0.25"/>
    <row r="44" spans="1:5" ht="15" customHeight="1" x14ac:dyDescent="0.25"/>
    <row r="45" spans="1:5" ht="15" customHeight="1" x14ac:dyDescent="0.25"/>
    <row r="46" spans="1:5" ht="15" customHeight="1" x14ac:dyDescent="0.25"/>
    <row r="47" spans="1:5" ht="15" customHeight="1" x14ac:dyDescent="0.25"/>
    <row r="48" spans="1: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sortState xmlns:xlrd2="http://schemas.microsoft.com/office/spreadsheetml/2017/richdata2" columnSort="1" ref="A1:BI44">
    <sortCondition descending="1" ref="A1:BI1"/>
  </sortState>
  <conditionalFormatting sqref="A4:XFD4 A5:BB6 BE5:XFD6 BC5:BD16 BA6:BA9 BB6:BB14 A7:AZ7 AD7:AD15 BE7:BE15 AA7:AA16 BF7:XFD17 A8:Z8 AE8:AX8 AY8:AZ11 AB8:AC12 M9:Z11 AE9:AU11 A9:G12 H9:K13 AV9:AV14 AX9:AX15 L9:L16 AW9:AW16 Q11:Q14 O11:O16 AH12:AU12 R12:Z13 AY12:AY13 N12:N15 AG12:AG15 AT12:AT15 M12:M16 AC12:AC16 AP12:AP16 AZ12:AZ16 P12:P17 AE12:AF17 A13:C13 E13:E14 G13:G14 AH13:AL14 F13:F15 D13:D16 AB13:AB16 AM13:AN16 AO13:AO17 AQ13:AS17 AU13:AU17 R14:W14 B14:B15 S14:S15 X14:X15 H14:H16 A14:A17 C14:C17 I14:K17 Y14:Z17 R15:R16 AH15:AH16 T15:T17 V15:W17 AI15:AL17">
    <cfRule type="expression" dxfId="1" priority="1">
      <formula>"&gt;2025-11-05"</formula>
    </cfRule>
  </conditionalFormatting>
  <conditionalFormatting sqref="A4:XFD6 A7:AZ8 BB7:BD8 BA7:BA25 BE7:BE30 BF7:XFD32 M9:AZ10 A9:K13 BB9:BB30 L9:L31 BC9:BD32 AV10:AV29 M11:AU12 AY11:AZ12 AW11:AW30 AX11:AX31 AC12:AC23 AY12:AY26 N12:N28 O13:AB14 AD13:AS14 D13:D29 G13:G29 M13:M30 AZ13:AZ30 F13:F31 AT13:AU31 I14:K16 B14:B19 U14:U26 E14:E27 C14:C28 S14:S28 H14:H29 A14:A31 AD14:AD31 V15:AB15 AI15:AS20 O15:P21 Q15:R28 AG15:AG30 AH15:AH31 T15:T32 AE15:AF32 Y16:AB16 V16:W23 Y17:Z20 J17:J31 I17:I32 K17:K32 X16:X29 AA17:AB17 AA18:AA25 AB18:AB29 Y20:Y30 AL21:AS21 AJ21:AK26 B21:B30 AI21:AI30 Z21:Z31 AL22:AN23 AP22:AS24 P22:P30 AO22:AO30 O22:O31 AQ23:AQ29 AL24:AM26 W24:W29 V24:V30 AN24:AN31 AR25:AR29 AP25:AP30 AS25:AS31 AJ27:AJ30 AM27:AM30 AK27:AK31 AL27:AL32">
    <cfRule type="expression" dxfId="0" priority="7">
      <formula>A4 &gt; "2026-02-01"</formula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H42"/>
  <sheetViews>
    <sheetView zoomScaleNormal="100" workbookViewId="0">
      <selection activeCell="BT1" sqref="BT1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4" max="74" width="15" customWidth="1"/>
    <col min="75" max="75" width="14" customWidth="1"/>
    <col min="79" max="79" width="13.7109375" customWidth="1"/>
    <col min="81" max="81" width="17.28515625" customWidth="1"/>
  </cols>
  <sheetData>
    <row r="3" spans="1:86" ht="15" customHeight="1" x14ac:dyDescent="0.25">
      <c r="A3" t="s">
        <v>69</v>
      </c>
      <c r="B3" t="s">
        <v>70</v>
      </c>
      <c r="C3" t="s">
        <v>64</v>
      </c>
      <c r="D3" t="s">
        <v>65</v>
      </c>
      <c r="E3" t="s">
        <v>74</v>
      </c>
      <c r="F3" t="s">
        <v>84</v>
      </c>
      <c r="G3" t="s">
        <v>66</v>
      </c>
      <c r="H3" t="s">
        <v>75</v>
      </c>
      <c r="I3" t="s">
        <v>94</v>
      </c>
      <c r="J3" t="s">
        <v>71</v>
      </c>
      <c r="K3" t="s">
        <v>82</v>
      </c>
      <c r="L3" t="s">
        <v>85</v>
      </c>
      <c r="M3" t="s">
        <v>67</v>
      </c>
      <c r="N3" t="s">
        <v>68</v>
      </c>
      <c r="O3" t="s">
        <v>95</v>
      </c>
      <c r="P3" t="s">
        <v>72</v>
      </c>
      <c r="Q3" t="s">
        <v>76</v>
      </c>
      <c r="R3" t="s">
        <v>108</v>
      </c>
      <c r="S3" t="s">
        <v>92</v>
      </c>
      <c r="T3" t="s">
        <v>91</v>
      </c>
      <c r="U3" t="s">
        <v>77</v>
      </c>
      <c r="V3" t="s">
        <v>78</v>
      </c>
      <c r="W3" t="s">
        <v>96</v>
      </c>
      <c r="X3" t="s">
        <v>120</v>
      </c>
      <c r="Y3" t="s">
        <v>119</v>
      </c>
      <c r="Z3" t="s">
        <v>117</v>
      </c>
      <c r="AA3" t="s">
        <v>112</v>
      </c>
      <c r="AB3" t="s">
        <v>114</v>
      </c>
      <c r="AC3" t="s">
        <v>126</v>
      </c>
      <c r="AD3" t="s">
        <v>109</v>
      </c>
      <c r="AE3" t="s">
        <v>102</v>
      </c>
      <c r="AF3" t="s">
        <v>87</v>
      </c>
      <c r="AG3" t="s">
        <v>104</v>
      </c>
      <c r="AH3" t="s">
        <v>86</v>
      </c>
      <c r="AI3" t="s">
        <v>81</v>
      </c>
      <c r="AJ3" t="s">
        <v>89</v>
      </c>
      <c r="AK3" t="s">
        <v>118</v>
      </c>
      <c r="AL3" t="s">
        <v>113</v>
      </c>
      <c r="AM3" t="s">
        <v>132</v>
      </c>
      <c r="AN3" t="s">
        <v>88</v>
      </c>
      <c r="AO3" t="s">
        <v>131</v>
      </c>
      <c r="AP3" t="s">
        <v>98</v>
      </c>
      <c r="AQ3" t="s">
        <v>127</v>
      </c>
      <c r="AR3" t="s">
        <v>134</v>
      </c>
      <c r="AS3" t="s">
        <v>73</v>
      </c>
      <c r="AT3" t="s">
        <v>97</v>
      </c>
      <c r="AU3" t="s">
        <v>130</v>
      </c>
      <c r="AV3" t="s">
        <v>121</v>
      </c>
      <c r="AW3" t="s">
        <v>123</v>
      </c>
      <c r="AX3" t="s">
        <v>90</v>
      </c>
      <c r="AY3" t="s">
        <v>105</v>
      </c>
      <c r="AZ3" t="s">
        <v>83</v>
      </c>
      <c r="BA3" t="s">
        <v>138</v>
      </c>
      <c r="BB3" t="s">
        <v>137</v>
      </c>
      <c r="BC3" t="s">
        <v>100</v>
      </c>
      <c r="BD3" t="s">
        <v>128</v>
      </c>
      <c r="BE3" t="s">
        <v>79</v>
      </c>
      <c r="BF3" t="s">
        <v>99</v>
      </c>
      <c r="BG3" t="s">
        <v>110</v>
      </c>
      <c r="BH3" t="s">
        <v>101</v>
      </c>
      <c r="BI3" t="s">
        <v>125</v>
      </c>
      <c r="BJ3" t="s">
        <v>136</v>
      </c>
      <c r="BK3" t="s">
        <v>141</v>
      </c>
      <c r="BL3" t="s">
        <v>135</v>
      </c>
      <c r="BM3" t="s">
        <v>147</v>
      </c>
      <c r="BN3" t="s">
        <v>144</v>
      </c>
      <c r="BO3" t="s">
        <v>93</v>
      </c>
      <c r="BP3" t="s">
        <v>115</v>
      </c>
      <c r="BQ3" t="s">
        <v>122</v>
      </c>
      <c r="BR3" t="s">
        <v>106</v>
      </c>
      <c r="BS3" t="s">
        <v>143</v>
      </c>
      <c r="BT3" t="s">
        <v>124</v>
      </c>
      <c r="BU3" t="s">
        <v>116</v>
      </c>
      <c r="BV3" t="s">
        <v>111</v>
      </c>
      <c r="BW3" t="s">
        <v>129</v>
      </c>
      <c r="BX3" t="s">
        <v>146</v>
      </c>
      <c r="BY3" t="s">
        <v>80</v>
      </c>
      <c r="BZ3" t="s">
        <v>142</v>
      </c>
      <c r="CA3" t="s">
        <v>107</v>
      </c>
      <c r="CB3" t="s">
        <v>103</v>
      </c>
      <c r="CC3" t="s">
        <v>139</v>
      </c>
      <c r="CD3" t="s">
        <v>133</v>
      </c>
      <c r="CE3" t="s">
        <v>149</v>
      </c>
      <c r="CF3" t="s">
        <v>150</v>
      </c>
      <c r="CG3" t="s">
        <v>148</v>
      </c>
      <c r="CH3" t="s">
        <v>140</v>
      </c>
    </row>
    <row r="4" spans="1:86" ht="15" customHeight="1" x14ac:dyDescent="0.25">
      <c r="A4" t="s">
        <v>15</v>
      </c>
      <c r="B4" t="s">
        <v>25</v>
      </c>
      <c r="C4" t="s">
        <v>3</v>
      </c>
      <c r="D4" t="s">
        <v>15</v>
      </c>
      <c r="E4" t="s">
        <v>49</v>
      </c>
      <c r="F4" t="s">
        <v>50</v>
      </c>
      <c r="G4" t="s">
        <v>9</v>
      </c>
      <c r="H4" t="s">
        <v>3</v>
      </c>
      <c r="I4" t="s">
        <v>42</v>
      </c>
      <c r="J4" t="s">
        <v>9</v>
      </c>
      <c r="K4" t="s">
        <v>27</v>
      </c>
      <c r="L4" t="s">
        <v>52</v>
      </c>
      <c r="M4" t="s">
        <v>40</v>
      </c>
      <c r="N4" t="s">
        <v>3</v>
      </c>
      <c r="O4" t="s">
        <v>53</v>
      </c>
      <c r="P4" t="s">
        <v>35</v>
      </c>
      <c r="Q4" t="s">
        <v>15</v>
      </c>
      <c r="R4" t="s">
        <v>42</v>
      </c>
      <c r="S4" t="s">
        <v>6</v>
      </c>
      <c r="T4" t="s">
        <v>36</v>
      </c>
      <c r="U4" t="s">
        <v>40</v>
      </c>
      <c r="V4" t="s">
        <v>40</v>
      </c>
      <c r="W4" t="s">
        <v>9</v>
      </c>
      <c r="X4" t="s">
        <v>15</v>
      </c>
      <c r="Y4" t="s">
        <v>42</v>
      </c>
      <c r="Z4" t="s">
        <v>5</v>
      </c>
      <c r="AA4" t="s">
        <v>31</v>
      </c>
      <c r="AB4" t="s">
        <v>49</v>
      </c>
      <c r="AC4" t="s">
        <v>25</v>
      </c>
      <c r="AD4" t="s">
        <v>50</v>
      </c>
      <c r="AE4" t="s">
        <v>9</v>
      </c>
      <c r="AF4" t="s">
        <v>3</v>
      </c>
      <c r="AG4" t="s">
        <v>31</v>
      </c>
      <c r="AH4" t="s">
        <v>49</v>
      </c>
      <c r="AI4" t="s">
        <v>9</v>
      </c>
      <c r="AJ4" t="s">
        <v>31</v>
      </c>
      <c r="AK4" t="s">
        <v>49</v>
      </c>
      <c r="AL4" t="s">
        <v>42</v>
      </c>
      <c r="AM4" t="s">
        <v>40</v>
      </c>
      <c r="AN4" t="s">
        <v>9</v>
      </c>
      <c r="AO4" t="s">
        <v>19</v>
      </c>
      <c r="AP4" t="s">
        <v>42</v>
      </c>
      <c r="AQ4" t="s">
        <v>49</v>
      </c>
      <c r="AR4" t="s">
        <v>48</v>
      </c>
      <c r="AS4" t="s">
        <v>15</v>
      </c>
      <c r="AT4" t="s">
        <v>31</v>
      </c>
      <c r="AU4" t="s">
        <v>19</v>
      </c>
      <c r="AV4" t="s">
        <v>27</v>
      </c>
      <c r="AW4" t="s">
        <v>44</v>
      </c>
      <c r="AX4" t="s">
        <v>5</v>
      </c>
      <c r="AY4" t="s">
        <v>27</v>
      </c>
      <c r="AZ4" t="s">
        <v>49</v>
      </c>
      <c r="BA4" t="s">
        <v>40</v>
      </c>
      <c r="BB4" t="s">
        <v>3</v>
      </c>
      <c r="BC4" t="s">
        <v>6</v>
      </c>
      <c r="BD4" t="s">
        <v>52</v>
      </c>
      <c r="BE4" t="s">
        <v>44</v>
      </c>
      <c r="BF4" t="s">
        <v>52</v>
      </c>
      <c r="BG4" t="s">
        <v>49</v>
      </c>
      <c r="BH4" t="s">
        <v>52</v>
      </c>
      <c r="BI4" t="s">
        <v>9</v>
      </c>
      <c r="BJ4" t="s">
        <v>42</v>
      </c>
      <c r="BK4" t="s">
        <v>15</v>
      </c>
      <c r="BL4" t="s">
        <v>27</v>
      </c>
      <c r="BM4" t="s">
        <v>15</v>
      </c>
      <c r="BN4" t="s">
        <v>5</v>
      </c>
      <c r="BO4" t="s">
        <v>5</v>
      </c>
      <c r="BP4" t="s">
        <v>48</v>
      </c>
      <c r="BQ4" t="s">
        <v>52</v>
      </c>
      <c r="BR4" t="s">
        <v>42</v>
      </c>
      <c r="BS4" t="s">
        <v>49</v>
      </c>
      <c r="BT4" t="s">
        <v>40</v>
      </c>
      <c r="BU4" t="s">
        <v>44</v>
      </c>
      <c r="BV4" t="s">
        <v>35</v>
      </c>
      <c r="BW4" t="s">
        <v>15</v>
      </c>
      <c r="BX4" t="s">
        <v>5</v>
      </c>
      <c r="BY4" t="s">
        <v>3</v>
      </c>
      <c r="BZ4" t="s">
        <v>50</v>
      </c>
      <c r="CA4" t="s">
        <v>6</v>
      </c>
      <c r="CB4" t="s">
        <v>40</v>
      </c>
      <c r="CC4" t="s">
        <v>19</v>
      </c>
      <c r="CD4" t="s">
        <v>42</v>
      </c>
      <c r="CE4" t="s">
        <v>44</v>
      </c>
      <c r="CF4" t="s">
        <v>5</v>
      </c>
      <c r="CG4" t="s">
        <v>40</v>
      </c>
      <c r="CH4" t="s">
        <v>50</v>
      </c>
    </row>
    <row r="5" spans="1:86" ht="15" customHeight="1" x14ac:dyDescent="0.25">
      <c r="A5" t="s">
        <v>16</v>
      </c>
      <c r="B5" t="s">
        <v>24</v>
      </c>
      <c r="C5" t="s">
        <v>44</v>
      </c>
      <c r="D5" t="s">
        <v>19</v>
      </c>
      <c r="E5" t="s">
        <v>48</v>
      </c>
      <c r="F5" t="s">
        <v>37</v>
      </c>
      <c r="G5" t="s">
        <v>4</v>
      </c>
      <c r="H5" t="s">
        <v>27</v>
      </c>
      <c r="I5" t="s">
        <v>4</v>
      </c>
      <c r="J5" t="s">
        <v>44</v>
      </c>
      <c r="K5" t="s">
        <v>49</v>
      </c>
      <c r="L5" t="s">
        <v>53</v>
      </c>
      <c r="M5" t="s">
        <v>49</v>
      </c>
      <c r="N5" t="s">
        <v>4</v>
      </c>
      <c r="O5" t="s">
        <v>37</v>
      </c>
      <c r="P5" t="s">
        <v>33</v>
      </c>
      <c r="Q5" t="s">
        <v>24</v>
      </c>
      <c r="R5" t="s">
        <v>4</v>
      </c>
      <c r="S5" t="s">
        <v>37</v>
      </c>
      <c r="T5" t="s">
        <v>53</v>
      </c>
      <c r="U5" t="s">
        <v>37</v>
      </c>
      <c r="V5" t="s">
        <v>48</v>
      </c>
      <c r="W5" t="s">
        <v>44</v>
      </c>
      <c r="X5" t="s">
        <v>49</v>
      </c>
      <c r="Y5" t="s">
        <v>37</v>
      </c>
      <c r="Z5" t="s">
        <v>3</v>
      </c>
      <c r="AA5" t="s">
        <v>27</v>
      </c>
      <c r="AB5" t="s">
        <v>20</v>
      </c>
      <c r="AC5" t="s">
        <v>15</v>
      </c>
      <c r="AD5" t="s">
        <v>40</v>
      </c>
      <c r="AE5" t="s">
        <v>4</v>
      </c>
      <c r="AF5" t="s">
        <v>57</v>
      </c>
      <c r="AG5" t="s">
        <v>15</v>
      </c>
      <c r="AH5" t="s">
        <v>44</v>
      </c>
      <c r="AI5" t="s">
        <v>53</v>
      </c>
      <c r="AJ5" t="s">
        <v>36</v>
      </c>
      <c r="AK5" t="s">
        <v>44</v>
      </c>
      <c r="AL5" t="s">
        <v>53</v>
      </c>
      <c r="AM5" t="s">
        <v>37</v>
      </c>
      <c r="AN5" t="s">
        <v>4</v>
      </c>
      <c r="AO5" t="s">
        <v>44</v>
      </c>
      <c r="AP5" t="s">
        <v>52</v>
      </c>
      <c r="AQ5" t="s">
        <v>44</v>
      </c>
      <c r="AR5" t="s">
        <v>37</v>
      </c>
      <c r="AS5" t="s">
        <v>35</v>
      </c>
      <c r="AT5" t="s">
        <v>27</v>
      </c>
      <c r="AU5" t="s">
        <v>16</v>
      </c>
      <c r="AV5" t="s">
        <v>15</v>
      </c>
      <c r="AW5" t="s">
        <v>53</v>
      </c>
      <c r="AX5" t="s">
        <v>49</v>
      </c>
      <c r="AY5" t="s">
        <v>16</v>
      </c>
      <c r="AZ5" t="s">
        <v>44</v>
      </c>
      <c r="BA5" t="s">
        <v>48</v>
      </c>
      <c r="BB5" t="s">
        <v>49</v>
      </c>
      <c r="BC5" t="s">
        <v>9</v>
      </c>
      <c r="BD5" t="s">
        <v>50</v>
      </c>
      <c r="BE5" t="s">
        <v>37</v>
      </c>
      <c r="BF5" t="s">
        <v>44</v>
      </c>
      <c r="BG5" t="s">
        <v>44</v>
      </c>
      <c r="BH5" t="s">
        <v>35</v>
      </c>
      <c r="BI5" t="s">
        <v>4</v>
      </c>
      <c r="BJ5" t="s">
        <v>40</v>
      </c>
      <c r="BK5" t="s">
        <v>35</v>
      </c>
      <c r="BL5" t="s">
        <v>20</v>
      </c>
      <c r="BM5" t="s">
        <v>37</v>
      </c>
      <c r="BN5" t="s">
        <v>40</v>
      </c>
      <c r="BO5" t="s">
        <v>9</v>
      </c>
      <c r="BP5" t="s">
        <v>20</v>
      </c>
      <c r="BQ5" t="s">
        <v>49</v>
      </c>
      <c r="BR5" t="s">
        <v>6</v>
      </c>
      <c r="BS5" t="s">
        <v>44</v>
      </c>
      <c r="BT5" t="s">
        <v>48</v>
      </c>
      <c r="BU5" t="s">
        <v>37</v>
      </c>
      <c r="BV5" t="s">
        <v>16</v>
      </c>
      <c r="BW5" t="s">
        <v>48</v>
      </c>
      <c r="BX5" t="s">
        <v>49</v>
      </c>
      <c r="BY5" t="s">
        <v>4</v>
      </c>
      <c r="BZ5" t="s">
        <v>27</v>
      </c>
      <c r="CA5" t="s">
        <v>53</v>
      </c>
      <c r="CB5" t="s">
        <v>16</v>
      </c>
      <c r="CC5" t="s">
        <v>20</v>
      </c>
      <c r="CD5" t="s">
        <v>40</v>
      </c>
      <c r="CE5" t="s">
        <v>37</v>
      </c>
      <c r="CF5" t="s">
        <v>9</v>
      </c>
      <c r="CG5" t="s">
        <v>37</v>
      </c>
      <c r="CH5" t="s">
        <v>53</v>
      </c>
    </row>
    <row r="6" spans="1:86" ht="15" customHeight="1" x14ac:dyDescent="0.25">
      <c r="A6" t="s">
        <v>17</v>
      </c>
      <c r="B6" t="s">
        <v>23</v>
      </c>
      <c r="C6" t="s">
        <v>7</v>
      </c>
      <c r="D6" t="s">
        <v>18</v>
      </c>
      <c r="E6" t="s">
        <v>46</v>
      </c>
      <c r="F6" t="s">
        <v>38</v>
      </c>
      <c r="G6" t="s">
        <v>7</v>
      </c>
      <c r="H6" t="s">
        <v>10</v>
      </c>
      <c r="I6" t="s">
        <v>8</v>
      </c>
      <c r="J6" t="s">
        <v>54</v>
      </c>
      <c r="K6" t="s">
        <v>18</v>
      </c>
      <c r="L6" t="s">
        <v>54</v>
      </c>
      <c r="M6" t="s">
        <v>38</v>
      </c>
      <c r="N6" t="s">
        <v>14</v>
      </c>
      <c r="O6" t="s">
        <v>43</v>
      </c>
      <c r="P6" t="s">
        <v>17</v>
      </c>
      <c r="Q6" t="s">
        <v>22</v>
      </c>
      <c r="R6" t="s">
        <v>43</v>
      </c>
      <c r="S6" t="s">
        <v>32</v>
      </c>
      <c r="T6" t="s">
        <v>43</v>
      </c>
      <c r="U6" t="s">
        <v>58</v>
      </c>
      <c r="V6" t="s">
        <v>59</v>
      </c>
      <c r="W6" t="s">
        <v>10</v>
      </c>
      <c r="X6" t="s">
        <v>18</v>
      </c>
      <c r="Y6" t="s">
        <v>26</v>
      </c>
      <c r="Z6" t="s">
        <v>10</v>
      </c>
      <c r="AA6" t="s">
        <v>23</v>
      </c>
      <c r="AB6" t="s">
        <v>54</v>
      </c>
      <c r="AC6" t="s">
        <v>17</v>
      </c>
      <c r="AD6" t="s">
        <v>41</v>
      </c>
      <c r="AE6" t="s">
        <v>7</v>
      </c>
      <c r="AF6" t="s">
        <v>39</v>
      </c>
      <c r="AG6" t="s">
        <v>18</v>
      </c>
      <c r="AH6" t="s">
        <v>56</v>
      </c>
      <c r="AI6" t="s">
        <v>54</v>
      </c>
      <c r="AJ6" t="s">
        <v>51</v>
      </c>
      <c r="AK6" t="s">
        <v>41</v>
      </c>
      <c r="AL6" t="s">
        <v>47</v>
      </c>
      <c r="AM6" t="s">
        <v>38</v>
      </c>
      <c r="AN6" t="s">
        <v>10</v>
      </c>
      <c r="AO6" t="s">
        <v>29</v>
      </c>
      <c r="AP6" t="s">
        <v>54</v>
      </c>
      <c r="AQ6" t="s">
        <v>29</v>
      </c>
      <c r="AR6" t="s">
        <v>38</v>
      </c>
      <c r="AS6" t="s">
        <v>34</v>
      </c>
      <c r="AT6" t="s">
        <v>17</v>
      </c>
      <c r="AU6" t="s">
        <v>21</v>
      </c>
      <c r="AV6" t="s">
        <v>21</v>
      </c>
      <c r="AW6" t="s">
        <v>54</v>
      </c>
      <c r="AX6" t="s">
        <v>10</v>
      </c>
      <c r="AY6" t="s">
        <v>29</v>
      </c>
      <c r="AZ6" t="s">
        <v>17</v>
      </c>
      <c r="BA6" t="s">
        <v>38</v>
      </c>
      <c r="BB6" t="s">
        <v>10</v>
      </c>
      <c r="BC6" t="s">
        <v>10</v>
      </c>
      <c r="BD6" t="s">
        <v>38</v>
      </c>
      <c r="BE6" t="s">
        <v>41</v>
      </c>
      <c r="BF6" t="s">
        <v>10</v>
      </c>
      <c r="BG6" t="s">
        <v>56</v>
      </c>
      <c r="BH6" t="s">
        <v>43</v>
      </c>
      <c r="BI6" t="s">
        <v>11</v>
      </c>
      <c r="BJ6" t="s">
        <v>51</v>
      </c>
      <c r="BK6" t="s">
        <v>17</v>
      </c>
      <c r="BL6" t="s">
        <v>23</v>
      </c>
      <c r="BM6" t="s">
        <v>26</v>
      </c>
      <c r="BN6" t="s">
        <v>10</v>
      </c>
      <c r="BO6" t="s">
        <v>8</v>
      </c>
      <c r="BP6" t="s">
        <v>18</v>
      </c>
      <c r="BQ6" t="s">
        <v>45</v>
      </c>
      <c r="BR6" t="s">
        <v>14</v>
      </c>
      <c r="BS6" t="s">
        <v>54</v>
      </c>
      <c r="BT6" t="s">
        <v>26</v>
      </c>
      <c r="BU6" t="s">
        <v>59</v>
      </c>
      <c r="BV6" t="s">
        <v>21</v>
      </c>
      <c r="BW6" t="s">
        <v>38</v>
      </c>
      <c r="BX6" t="s">
        <v>47</v>
      </c>
      <c r="BY6" t="s">
        <v>21</v>
      </c>
      <c r="BZ6" t="s">
        <v>17</v>
      </c>
      <c r="CA6" t="s">
        <v>54</v>
      </c>
      <c r="CB6" t="s">
        <v>34</v>
      </c>
      <c r="CC6" t="s">
        <v>29</v>
      </c>
      <c r="CD6" t="s">
        <v>54</v>
      </c>
      <c r="CE6" t="s">
        <v>43</v>
      </c>
      <c r="CF6" t="s">
        <v>12</v>
      </c>
      <c r="CG6" t="s">
        <v>41</v>
      </c>
      <c r="CH6" t="s">
        <v>38</v>
      </c>
    </row>
    <row r="7" spans="1:86" ht="15" customHeight="1" x14ac:dyDescent="0.25">
      <c r="A7" t="s">
        <v>18</v>
      </c>
      <c r="B7" t="s">
        <v>30</v>
      </c>
      <c r="C7" t="s">
        <v>45</v>
      </c>
      <c r="D7" t="s">
        <v>26</v>
      </c>
      <c r="E7" t="s">
        <v>45</v>
      </c>
      <c r="F7" t="s">
        <v>46</v>
      </c>
      <c r="G7" t="s">
        <v>11</v>
      </c>
      <c r="H7" t="s">
        <v>18</v>
      </c>
      <c r="I7" t="s">
        <v>47</v>
      </c>
      <c r="J7" t="s">
        <v>45</v>
      </c>
      <c r="K7" t="s">
        <v>32</v>
      </c>
      <c r="L7" t="s">
        <v>39</v>
      </c>
      <c r="M7" t="s">
        <v>45</v>
      </c>
      <c r="N7" t="s">
        <v>41</v>
      </c>
      <c r="O7" t="s">
        <v>46</v>
      </c>
      <c r="P7" t="s">
        <v>21</v>
      </c>
      <c r="Q7" t="s">
        <v>26</v>
      </c>
      <c r="R7" t="s">
        <v>47</v>
      </c>
      <c r="S7" t="s">
        <v>12</v>
      </c>
      <c r="T7" t="s">
        <v>46</v>
      </c>
      <c r="U7" t="s">
        <v>51</v>
      </c>
      <c r="V7" t="s">
        <v>41</v>
      </c>
      <c r="W7" t="s">
        <v>7</v>
      </c>
      <c r="X7" t="s">
        <v>45</v>
      </c>
      <c r="Y7" t="s">
        <v>47</v>
      </c>
      <c r="Z7" t="s">
        <v>12</v>
      </c>
      <c r="AA7" t="s">
        <v>22</v>
      </c>
      <c r="AB7" t="s">
        <v>45</v>
      </c>
      <c r="AC7" t="s">
        <v>28</v>
      </c>
      <c r="AD7" t="s">
        <v>47</v>
      </c>
      <c r="AE7" t="s">
        <v>11</v>
      </c>
      <c r="AF7" t="s">
        <v>45</v>
      </c>
      <c r="AG7" t="s">
        <v>21</v>
      </c>
      <c r="AH7" t="s">
        <v>45</v>
      </c>
      <c r="AI7" t="s">
        <v>12</v>
      </c>
      <c r="AJ7" t="s">
        <v>47</v>
      </c>
      <c r="AK7" t="s">
        <v>45</v>
      </c>
      <c r="AL7" t="s">
        <v>39</v>
      </c>
      <c r="AM7" t="s">
        <v>46</v>
      </c>
      <c r="AN7" t="s">
        <v>7</v>
      </c>
      <c r="AO7" t="s">
        <v>28</v>
      </c>
      <c r="AP7" t="s">
        <v>43</v>
      </c>
      <c r="AQ7" t="s">
        <v>45</v>
      </c>
      <c r="AR7" t="s">
        <v>46</v>
      </c>
      <c r="AS7" t="s">
        <v>41</v>
      </c>
      <c r="AT7" t="s">
        <v>30</v>
      </c>
      <c r="AU7" t="s">
        <v>28</v>
      </c>
      <c r="AV7" t="s">
        <v>30</v>
      </c>
      <c r="AW7" t="s">
        <v>45</v>
      </c>
      <c r="AX7" t="s">
        <v>39</v>
      </c>
      <c r="AY7" t="s">
        <v>30</v>
      </c>
      <c r="AZ7" t="s">
        <v>22</v>
      </c>
      <c r="BA7" t="s">
        <v>46</v>
      </c>
      <c r="BB7" t="s">
        <v>54</v>
      </c>
      <c r="BC7" t="s">
        <v>43</v>
      </c>
      <c r="BD7" t="s">
        <v>43</v>
      </c>
      <c r="BE7" t="s">
        <v>55</v>
      </c>
      <c r="BF7" t="s">
        <v>12</v>
      </c>
      <c r="BG7" t="s">
        <v>41</v>
      </c>
      <c r="BH7" t="s">
        <v>55</v>
      </c>
      <c r="BI7" t="s">
        <v>45</v>
      </c>
      <c r="BJ7" t="s">
        <v>41</v>
      </c>
      <c r="BK7" t="s">
        <v>30</v>
      </c>
      <c r="BL7" t="s">
        <v>22</v>
      </c>
      <c r="BM7" t="s">
        <v>46</v>
      </c>
      <c r="BN7" t="s">
        <v>46</v>
      </c>
      <c r="BO7" t="s">
        <v>39</v>
      </c>
      <c r="BP7" t="s">
        <v>32</v>
      </c>
      <c r="BQ7" t="s">
        <v>55</v>
      </c>
      <c r="BR7" t="s">
        <v>59</v>
      </c>
      <c r="BS7" t="s">
        <v>45</v>
      </c>
      <c r="BT7" t="s">
        <v>56</v>
      </c>
      <c r="BU7" t="s">
        <v>41</v>
      </c>
      <c r="BV7" t="s">
        <v>30</v>
      </c>
      <c r="BW7" t="s">
        <v>26</v>
      </c>
      <c r="BX7" t="s">
        <v>39</v>
      </c>
      <c r="BY7" t="s">
        <v>38</v>
      </c>
      <c r="BZ7" t="s">
        <v>23</v>
      </c>
      <c r="CA7" t="s">
        <v>43</v>
      </c>
      <c r="CB7" t="s">
        <v>41</v>
      </c>
      <c r="CC7" t="s">
        <v>26</v>
      </c>
      <c r="CD7" t="s">
        <v>56</v>
      </c>
      <c r="CE7" t="s">
        <v>47</v>
      </c>
      <c r="CF7" t="s">
        <v>7</v>
      </c>
      <c r="CG7" t="s">
        <v>47</v>
      </c>
      <c r="CH7" t="s">
        <v>43</v>
      </c>
    </row>
    <row r="8" spans="1:86" ht="15" customHeight="1" x14ac:dyDescent="0.25">
      <c r="A8" t="s">
        <v>19</v>
      </c>
      <c r="D8" t="s">
        <v>5</v>
      </c>
      <c r="E8" t="s">
        <v>50</v>
      </c>
      <c r="G8" t="s">
        <v>40</v>
      </c>
      <c r="H8" t="s">
        <v>52</v>
      </c>
      <c r="I8" t="s">
        <v>15</v>
      </c>
      <c r="J8" t="s">
        <v>31</v>
      </c>
      <c r="K8" t="s">
        <v>19</v>
      </c>
      <c r="L8" t="s">
        <v>40</v>
      </c>
      <c r="M8" t="s">
        <v>25</v>
      </c>
      <c r="N8" t="s">
        <v>27</v>
      </c>
      <c r="P8" t="s">
        <v>42</v>
      </c>
      <c r="Q8" t="s">
        <v>42</v>
      </c>
      <c r="T8" t="s">
        <v>19</v>
      </c>
      <c r="U8" t="s">
        <v>9</v>
      </c>
      <c r="W8" t="s">
        <v>3</v>
      </c>
      <c r="AA8" t="s">
        <v>5</v>
      </c>
      <c r="AB8" t="s">
        <v>24</v>
      </c>
      <c r="AE8" t="s">
        <v>27</v>
      </c>
      <c r="AG8" t="s">
        <v>40</v>
      </c>
      <c r="AI8" t="s">
        <v>27</v>
      </c>
      <c r="AJ8" t="s">
        <v>40</v>
      </c>
      <c r="AK8" t="s">
        <v>40</v>
      </c>
      <c r="AN8" t="s">
        <v>25</v>
      </c>
      <c r="AP8" t="s">
        <v>50</v>
      </c>
      <c r="AS8" t="s">
        <v>44</v>
      </c>
      <c r="AT8" t="s">
        <v>25</v>
      </c>
      <c r="AV8" t="s">
        <v>50</v>
      </c>
      <c r="AX8" t="s">
        <v>13</v>
      </c>
      <c r="AY8" t="s">
        <v>6</v>
      </c>
      <c r="AZ8" t="s">
        <v>3</v>
      </c>
      <c r="BB8" t="s">
        <v>19</v>
      </c>
      <c r="BC8" t="s">
        <v>49</v>
      </c>
      <c r="BD8" t="s">
        <v>31</v>
      </c>
      <c r="BE8" t="s">
        <v>60</v>
      </c>
      <c r="BF8" t="s">
        <v>25</v>
      </c>
      <c r="BG8" t="s">
        <v>3</v>
      </c>
      <c r="BH8" t="s">
        <v>25</v>
      </c>
      <c r="BI8" t="s">
        <v>3</v>
      </c>
      <c r="BJ8" t="s">
        <v>27</v>
      </c>
      <c r="BL8" t="s">
        <v>50</v>
      </c>
      <c r="BO8" t="s">
        <v>19</v>
      </c>
      <c r="BP8" t="s">
        <v>4</v>
      </c>
      <c r="BQ8" t="s">
        <v>40</v>
      </c>
      <c r="BR8" t="s">
        <v>27</v>
      </c>
      <c r="BU8" t="s">
        <v>9</v>
      </c>
      <c r="BV8" t="s">
        <v>15</v>
      </c>
      <c r="BW8" t="s">
        <v>27</v>
      </c>
      <c r="BY8" t="s">
        <v>5</v>
      </c>
      <c r="BZ8" t="s">
        <v>49</v>
      </c>
      <c r="CA8" t="s">
        <v>36</v>
      </c>
      <c r="CC8" t="s">
        <v>52</v>
      </c>
      <c r="CD8" t="s">
        <v>35</v>
      </c>
      <c r="CE8" t="s">
        <v>40</v>
      </c>
      <c r="CF8" t="s">
        <v>49</v>
      </c>
      <c r="CG8" t="s">
        <v>25</v>
      </c>
      <c r="CH8" t="s">
        <v>15</v>
      </c>
    </row>
    <row r="9" spans="1:86" ht="15" customHeight="1" x14ac:dyDescent="0.25">
      <c r="A9" t="s">
        <v>20</v>
      </c>
      <c r="D9" t="s">
        <v>6</v>
      </c>
      <c r="E9" t="s">
        <v>40</v>
      </c>
      <c r="G9" t="s">
        <v>37</v>
      </c>
      <c r="H9" t="s">
        <v>53</v>
      </c>
      <c r="I9" t="s">
        <v>20</v>
      </c>
      <c r="J9" t="s">
        <v>16</v>
      </c>
      <c r="K9" t="s">
        <v>16</v>
      </c>
      <c r="L9" t="s">
        <v>48</v>
      </c>
      <c r="M9" t="s">
        <v>19</v>
      </c>
      <c r="N9" t="s">
        <v>24</v>
      </c>
      <c r="P9" t="s">
        <v>44</v>
      </c>
      <c r="Q9" t="s">
        <v>4</v>
      </c>
      <c r="T9" t="s">
        <v>24</v>
      </c>
      <c r="U9" t="s">
        <v>24</v>
      </c>
      <c r="W9" t="s">
        <v>52</v>
      </c>
      <c r="AA9" t="s">
        <v>3</v>
      </c>
      <c r="AB9" t="s">
        <v>16</v>
      </c>
      <c r="AE9" t="s">
        <v>35</v>
      </c>
      <c r="AG9" t="s">
        <v>19</v>
      </c>
      <c r="AI9" t="s">
        <v>6</v>
      </c>
      <c r="AJ9" t="s">
        <v>48</v>
      </c>
      <c r="AK9" t="s">
        <v>48</v>
      </c>
      <c r="AN9" t="s">
        <v>37</v>
      </c>
      <c r="AP9" t="s">
        <v>40</v>
      </c>
      <c r="AS9" t="s">
        <v>20</v>
      </c>
      <c r="AT9" t="s">
        <v>19</v>
      </c>
      <c r="AV9" t="s">
        <v>44</v>
      </c>
      <c r="AX9" t="s">
        <v>4</v>
      </c>
      <c r="AY9" t="s">
        <v>53</v>
      </c>
      <c r="AZ9" t="s">
        <v>4</v>
      </c>
      <c r="BB9" t="s">
        <v>16</v>
      </c>
      <c r="BC9" t="s">
        <v>44</v>
      </c>
      <c r="BD9" t="s">
        <v>19</v>
      </c>
      <c r="BE9" t="s">
        <v>61</v>
      </c>
      <c r="BF9" t="s">
        <v>57</v>
      </c>
      <c r="BG9" t="s">
        <v>4</v>
      </c>
      <c r="BH9" t="s">
        <v>24</v>
      </c>
      <c r="BI9" t="s">
        <v>53</v>
      </c>
      <c r="BJ9" t="s">
        <v>24</v>
      </c>
      <c r="BL9" t="s">
        <v>48</v>
      </c>
      <c r="BO9" t="s">
        <v>24</v>
      </c>
      <c r="BP9" t="s">
        <v>53</v>
      </c>
      <c r="BQ9" t="s">
        <v>44</v>
      </c>
      <c r="BR9" t="s">
        <v>36</v>
      </c>
      <c r="BU9" t="s">
        <v>4</v>
      </c>
      <c r="BV9" t="s">
        <v>19</v>
      </c>
      <c r="BW9" t="s">
        <v>20</v>
      </c>
      <c r="BY9" t="s">
        <v>9</v>
      </c>
      <c r="BZ9" t="s">
        <v>37</v>
      </c>
      <c r="CA9" t="s">
        <v>16</v>
      </c>
      <c r="CC9" t="s">
        <v>44</v>
      </c>
      <c r="CD9" t="s">
        <v>16</v>
      </c>
      <c r="CE9" t="s">
        <v>27</v>
      </c>
      <c r="CF9" t="s">
        <v>44</v>
      </c>
      <c r="CG9" t="s">
        <v>27</v>
      </c>
      <c r="CH9" t="s">
        <v>20</v>
      </c>
    </row>
    <row r="10" spans="1:86" ht="15" customHeight="1" x14ac:dyDescent="0.25">
      <c r="A10" t="s">
        <v>21</v>
      </c>
      <c r="D10" t="s">
        <v>8</v>
      </c>
      <c r="E10" t="s">
        <v>51</v>
      </c>
      <c r="G10" t="s">
        <v>18</v>
      </c>
      <c r="H10" t="s">
        <v>11</v>
      </c>
      <c r="I10" t="s">
        <v>29</v>
      </c>
      <c r="J10" t="s">
        <v>23</v>
      </c>
      <c r="K10" t="s">
        <v>28</v>
      </c>
      <c r="L10" t="s">
        <v>17</v>
      </c>
      <c r="M10" t="s">
        <v>28</v>
      </c>
      <c r="N10" t="s">
        <v>18</v>
      </c>
      <c r="P10" t="s">
        <v>47</v>
      </c>
      <c r="Q10" t="s">
        <v>43</v>
      </c>
      <c r="T10" t="s">
        <v>28</v>
      </c>
      <c r="U10" t="s">
        <v>10</v>
      </c>
      <c r="W10" t="s">
        <v>54</v>
      </c>
      <c r="AA10" t="s">
        <v>10</v>
      </c>
      <c r="AB10" t="s">
        <v>29</v>
      </c>
      <c r="AE10" t="s">
        <v>32</v>
      </c>
      <c r="AG10" t="s">
        <v>29</v>
      </c>
      <c r="AI10" t="s">
        <v>17</v>
      </c>
      <c r="AJ10" t="s">
        <v>38</v>
      </c>
      <c r="AK10" t="s">
        <v>38</v>
      </c>
      <c r="AN10" t="s">
        <v>22</v>
      </c>
      <c r="AP10" t="s">
        <v>12</v>
      </c>
      <c r="AS10" t="s">
        <v>32</v>
      </c>
      <c r="AT10" t="s">
        <v>29</v>
      </c>
      <c r="AV10" t="s">
        <v>38</v>
      </c>
      <c r="AX10" t="s">
        <v>12</v>
      </c>
      <c r="AY10" t="s">
        <v>8</v>
      </c>
      <c r="AZ10" t="s">
        <v>54</v>
      </c>
      <c r="BB10" t="s">
        <v>18</v>
      </c>
      <c r="BC10" t="s">
        <v>41</v>
      </c>
      <c r="BD10" t="s">
        <v>29</v>
      </c>
      <c r="BE10" t="s">
        <v>62</v>
      </c>
      <c r="BF10" t="s">
        <v>59</v>
      </c>
      <c r="BG10" t="s">
        <v>18</v>
      </c>
      <c r="BH10" t="s">
        <v>22</v>
      </c>
      <c r="BI10" t="s">
        <v>8</v>
      </c>
      <c r="BJ10" t="s">
        <v>54</v>
      </c>
      <c r="BL10" t="s">
        <v>38</v>
      </c>
      <c r="BO10" t="s">
        <v>28</v>
      </c>
      <c r="BP10" t="s">
        <v>11</v>
      </c>
      <c r="BQ10" t="s">
        <v>46</v>
      </c>
      <c r="BR10" t="s">
        <v>23</v>
      </c>
      <c r="BU10" t="s">
        <v>10</v>
      </c>
      <c r="BV10" t="s">
        <v>17</v>
      </c>
      <c r="BW10" t="s">
        <v>23</v>
      </c>
      <c r="BY10" t="s">
        <v>11</v>
      </c>
      <c r="BZ10" t="s">
        <v>43</v>
      </c>
      <c r="CA10" t="s">
        <v>22</v>
      </c>
      <c r="CC10" t="s">
        <v>38</v>
      </c>
      <c r="CD10" t="s">
        <v>18</v>
      </c>
      <c r="CE10" t="s">
        <v>28</v>
      </c>
      <c r="CF10" t="s">
        <v>39</v>
      </c>
      <c r="CG10" t="s">
        <v>17</v>
      </c>
      <c r="CH10" t="s">
        <v>29</v>
      </c>
    </row>
    <row r="11" spans="1:86" ht="15" customHeight="1" x14ac:dyDescent="0.25">
      <c r="A11" t="s">
        <v>22</v>
      </c>
      <c r="D11" t="s">
        <v>7</v>
      </c>
      <c r="E11" t="s">
        <v>47</v>
      </c>
      <c r="G11" t="s">
        <v>23</v>
      </c>
      <c r="H11" t="s">
        <v>43</v>
      </c>
      <c r="I11" t="s">
        <v>22</v>
      </c>
      <c r="J11" t="s">
        <v>32</v>
      </c>
      <c r="K11" t="s">
        <v>26</v>
      </c>
      <c r="L11" t="s">
        <v>46</v>
      </c>
      <c r="M11" t="s">
        <v>56</v>
      </c>
      <c r="N11" t="s">
        <v>30</v>
      </c>
      <c r="P11" t="s">
        <v>45</v>
      </c>
      <c r="Q11" t="s">
        <v>47</v>
      </c>
      <c r="T11" t="s">
        <v>30</v>
      </c>
      <c r="U11" t="s">
        <v>18</v>
      </c>
      <c r="W11" t="s">
        <v>11</v>
      </c>
      <c r="AA11" t="s">
        <v>12</v>
      </c>
      <c r="AB11" t="s">
        <v>26</v>
      </c>
      <c r="AE11" t="s">
        <v>26</v>
      </c>
      <c r="AG11" t="s">
        <v>30</v>
      </c>
      <c r="AI11" t="s">
        <v>10</v>
      </c>
      <c r="AJ11" t="s">
        <v>28</v>
      </c>
      <c r="AK11" t="s">
        <v>32</v>
      </c>
      <c r="AN11" t="s">
        <v>58</v>
      </c>
      <c r="AP11" t="s">
        <v>56</v>
      </c>
      <c r="AS11" t="s">
        <v>39</v>
      </c>
      <c r="AT11" t="s">
        <v>22</v>
      </c>
      <c r="AV11" t="s">
        <v>43</v>
      </c>
      <c r="AX11" t="s">
        <v>47</v>
      </c>
      <c r="AY11" t="s">
        <v>7</v>
      </c>
      <c r="AZ11" t="s">
        <v>39</v>
      </c>
      <c r="BB11" t="s">
        <v>22</v>
      </c>
      <c r="BC11" t="s">
        <v>45</v>
      </c>
      <c r="BD11" t="s">
        <v>32</v>
      </c>
      <c r="BE11" t="s">
        <v>58</v>
      </c>
      <c r="BF11" t="s">
        <v>30</v>
      </c>
      <c r="BG11" t="s">
        <v>32</v>
      </c>
      <c r="BH11" t="s">
        <v>32</v>
      </c>
      <c r="BI11" t="s">
        <v>47</v>
      </c>
      <c r="BJ11" t="s">
        <v>39</v>
      </c>
      <c r="BL11" t="s">
        <v>41</v>
      </c>
      <c r="BO11" t="s">
        <v>26</v>
      </c>
      <c r="BP11" t="s">
        <v>43</v>
      </c>
      <c r="BQ11" t="s">
        <v>39</v>
      </c>
      <c r="BR11" t="s">
        <v>38</v>
      </c>
      <c r="BU11" t="s">
        <v>54</v>
      </c>
      <c r="BV11" t="s">
        <v>28</v>
      </c>
      <c r="BW11" t="s">
        <v>18</v>
      </c>
      <c r="BY11" t="s">
        <v>39</v>
      </c>
      <c r="BZ11" t="s">
        <v>46</v>
      </c>
      <c r="CA11" t="s">
        <v>46</v>
      </c>
      <c r="CC11" t="s">
        <v>47</v>
      </c>
      <c r="CD11" t="s">
        <v>21</v>
      </c>
      <c r="CE11" t="s">
        <v>41</v>
      </c>
      <c r="CF11" t="s">
        <v>45</v>
      </c>
      <c r="CG11" t="s">
        <v>23</v>
      </c>
      <c r="CH11" t="s">
        <v>26</v>
      </c>
    </row>
    <row r="12" spans="1:86" ht="15" customHeight="1" x14ac:dyDescent="0.25">
      <c r="A12" t="s">
        <v>36</v>
      </c>
      <c r="D12" t="s">
        <v>20</v>
      </c>
      <c r="E12" t="s">
        <v>6</v>
      </c>
      <c r="G12" t="s">
        <v>3</v>
      </c>
      <c r="H12" t="s">
        <v>49</v>
      </c>
      <c r="J12" t="s">
        <v>5</v>
      </c>
      <c r="L12" t="s">
        <v>50</v>
      </c>
      <c r="M12" t="s">
        <v>42</v>
      </c>
      <c r="N12" t="s">
        <v>31</v>
      </c>
      <c r="P12" t="s">
        <v>52</v>
      </c>
      <c r="Q12" t="s">
        <v>31</v>
      </c>
      <c r="T12" t="s">
        <v>52</v>
      </c>
      <c r="U12" t="s">
        <v>27</v>
      </c>
      <c r="W12" t="s">
        <v>31</v>
      </c>
      <c r="AE12" t="s">
        <v>49</v>
      </c>
      <c r="AG12" t="s">
        <v>4</v>
      </c>
      <c r="AI12" t="s">
        <v>5</v>
      </c>
      <c r="AJ12" t="s">
        <v>3</v>
      </c>
      <c r="AN12" t="s">
        <v>15</v>
      </c>
      <c r="AP12" t="s">
        <v>5</v>
      </c>
      <c r="AT12" t="s">
        <v>40</v>
      </c>
      <c r="AV12" t="s">
        <v>42</v>
      </c>
      <c r="AX12" t="s">
        <v>3</v>
      </c>
      <c r="AY12" t="s">
        <v>42</v>
      </c>
      <c r="AZ12" t="s">
        <v>5</v>
      </c>
      <c r="BC12" t="s">
        <v>40</v>
      </c>
      <c r="BD12" t="s">
        <v>35</v>
      </c>
      <c r="BE12" t="s">
        <v>5</v>
      </c>
      <c r="BF12" t="s">
        <v>19</v>
      </c>
      <c r="BG12" t="s">
        <v>19</v>
      </c>
      <c r="BH12" t="s">
        <v>6</v>
      </c>
      <c r="BI12" t="s">
        <v>15</v>
      </c>
      <c r="BL12" t="s">
        <v>4</v>
      </c>
      <c r="BO12" t="s">
        <v>49</v>
      </c>
      <c r="BP12" t="s">
        <v>42</v>
      </c>
      <c r="BQ12" t="s">
        <v>6</v>
      </c>
      <c r="BR12" t="s">
        <v>5</v>
      </c>
      <c r="BU12" t="s">
        <v>42</v>
      </c>
      <c r="BV12" t="s">
        <v>52</v>
      </c>
      <c r="BW12" t="s">
        <v>25</v>
      </c>
      <c r="BY12" t="s">
        <v>52</v>
      </c>
      <c r="CA12" t="s">
        <v>27</v>
      </c>
      <c r="CC12" t="s">
        <v>25</v>
      </c>
    </row>
    <row r="13" spans="1:86" ht="15" customHeight="1" x14ac:dyDescent="0.25">
      <c r="A13" t="s">
        <v>37</v>
      </c>
      <c r="D13" t="s">
        <v>37</v>
      </c>
      <c r="E13" t="s">
        <v>4</v>
      </c>
      <c r="G13" t="s">
        <v>6</v>
      </c>
      <c r="H13" t="s">
        <v>44</v>
      </c>
      <c r="J13" t="s">
        <v>49</v>
      </c>
      <c r="L13" t="s">
        <v>37</v>
      </c>
      <c r="M13" t="s">
        <v>35</v>
      </c>
      <c r="N13" t="s">
        <v>48</v>
      </c>
      <c r="P13" t="s">
        <v>49</v>
      </c>
      <c r="Q13" t="s">
        <v>37</v>
      </c>
      <c r="T13" t="s">
        <v>48</v>
      </c>
      <c r="U13" t="s">
        <v>35</v>
      </c>
      <c r="W13" t="s">
        <v>20</v>
      </c>
      <c r="AE13" t="s">
        <v>37</v>
      </c>
      <c r="AG13" t="s">
        <v>44</v>
      </c>
      <c r="AI13" t="s">
        <v>35</v>
      </c>
      <c r="AJ13" t="s">
        <v>24</v>
      </c>
      <c r="AN13" t="s">
        <v>16</v>
      </c>
      <c r="AP13" t="s">
        <v>3</v>
      </c>
      <c r="AT13" t="s">
        <v>24</v>
      </c>
      <c r="AV13" t="s">
        <v>48</v>
      </c>
      <c r="AX13" t="s">
        <v>40</v>
      </c>
      <c r="AY13" t="s">
        <v>52</v>
      </c>
      <c r="AZ13" t="s">
        <v>37</v>
      </c>
      <c r="BC13" t="s">
        <v>48</v>
      </c>
      <c r="BD13" t="s">
        <v>16</v>
      </c>
      <c r="BE13" t="s">
        <v>6</v>
      </c>
      <c r="BF13" t="s">
        <v>20</v>
      </c>
      <c r="BG13" t="s">
        <v>35</v>
      </c>
      <c r="BH13" t="s">
        <v>49</v>
      </c>
      <c r="BI13" t="s">
        <v>19</v>
      </c>
      <c r="BL13" t="s">
        <v>16</v>
      </c>
      <c r="BO13" t="s">
        <v>44</v>
      </c>
      <c r="BP13" t="s">
        <v>37</v>
      </c>
      <c r="BQ13" t="s">
        <v>15</v>
      </c>
      <c r="BR13" t="s">
        <v>4</v>
      </c>
      <c r="BU13" t="s">
        <v>50</v>
      </c>
      <c r="BV13" t="s">
        <v>49</v>
      </c>
      <c r="BW13" t="s">
        <v>24</v>
      </c>
      <c r="BY13" t="s">
        <v>19</v>
      </c>
      <c r="CA13" t="s">
        <v>19</v>
      </c>
      <c r="CC13" t="s">
        <v>15</v>
      </c>
    </row>
    <row r="14" spans="1:86" ht="15" customHeight="1" x14ac:dyDescent="0.25">
      <c r="A14" t="s">
        <v>38</v>
      </c>
      <c r="D14" t="s">
        <v>17</v>
      </c>
      <c r="E14" t="s">
        <v>12</v>
      </c>
      <c r="G14" t="s">
        <v>17</v>
      </c>
      <c r="H14" t="s">
        <v>45</v>
      </c>
      <c r="J14" t="s">
        <v>10</v>
      </c>
      <c r="L14" t="s">
        <v>38</v>
      </c>
      <c r="M14" t="s">
        <v>22</v>
      </c>
      <c r="N14" t="s">
        <v>38</v>
      </c>
      <c r="P14" t="s">
        <v>54</v>
      </c>
      <c r="Q14" t="s">
        <v>18</v>
      </c>
      <c r="T14" t="s">
        <v>17</v>
      </c>
      <c r="U14" t="s">
        <v>21</v>
      </c>
      <c r="W14" t="s">
        <v>23</v>
      </c>
      <c r="AE14" t="s">
        <v>54</v>
      </c>
      <c r="AG14" t="s">
        <v>41</v>
      </c>
      <c r="AI14" t="s">
        <v>14</v>
      </c>
      <c r="AJ14" t="s">
        <v>7</v>
      </c>
      <c r="AN14" t="s">
        <v>18</v>
      </c>
      <c r="AP14" t="s">
        <v>8</v>
      </c>
      <c r="AT14" t="s">
        <v>46</v>
      </c>
      <c r="AV14" t="s">
        <v>51</v>
      </c>
      <c r="AX14" t="s">
        <v>11</v>
      </c>
      <c r="AY14" t="s">
        <v>43</v>
      </c>
      <c r="AZ14" t="s">
        <v>12</v>
      </c>
      <c r="BC14" t="s">
        <v>59</v>
      </c>
      <c r="BD14" t="s">
        <v>17</v>
      </c>
      <c r="BE14" t="s">
        <v>8</v>
      </c>
      <c r="BF14" t="s">
        <v>18</v>
      </c>
      <c r="BG14" t="s">
        <v>54</v>
      </c>
      <c r="BH14" t="s">
        <v>14</v>
      </c>
      <c r="BI14" t="s">
        <v>18</v>
      </c>
      <c r="BL14" t="s">
        <v>7</v>
      </c>
      <c r="BO14" t="s">
        <v>17</v>
      </c>
      <c r="BP14" t="s">
        <v>51</v>
      </c>
      <c r="BQ14" t="s">
        <v>29</v>
      </c>
      <c r="BR14" t="s">
        <v>7</v>
      </c>
      <c r="BU14" t="s">
        <v>46</v>
      </c>
      <c r="BV14" t="s">
        <v>54</v>
      </c>
      <c r="BW14" t="s">
        <v>29</v>
      </c>
      <c r="BY14" t="s">
        <v>18</v>
      </c>
      <c r="CA14" t="s">
        <v>17</v>
      </c>
      <c r="CC14" t="s">
        <v>22</v>
      </c>
    </row>
    <row r="15" spans="1:86" ht="15" customHeight="1" x14ac:dyDescent="0.25">
      <c r="A15" t="s">
        <v>39</v>
      </c>
      <c r="D15" t="s">
        <v>46</v>
      </c>
      <c r="E15" t="s">
        <v>7</v>
      </c>
      <c r="G15" t="s">
        <v>29</v>
      </c>
      <c r="H15" t="s">
        <v>55</v>
      </c>
      <c r="J15" t="s">
        <v>41</v>
      </c>
      <c r="L15" t="s">
        <v>41</v>
      </c>
      <c r="M15" t="s">
        <v>51</v>
      </c>
      <c r="N15" t="s">
        <v>28</v>
      </c>
      <c r="P15" t="s">
        <v>39</v>
      </c>
      <c r="Q15" t="s">
        <v>46</v>
      </c>
      <c r="T15" t="s">
        <v>38</v>
      </c>
      <c r="U15" t="s">
        <v>41</v>
      </c>
      <c r="W15" t="s">
        <v>30</v>
      </c>
      <c r="AE15" t="s">
        <v>45</v>
      </c>
      <c r="AG15" t="s">
        <v>47</v>
      </c>
      <c r="AI15" t="s">
        <v>18</v>
      </c>
      <c r="AJ15" t="s">
        <v>30</v>
      </c>
      <c r="AN15" t="s">
        <v>29</v>
      </c>
      <c r="AP15" t="s">
        <v>39</v>
      </c>
      <c r="AT15" t="s">
        <v>55</v>
      </c>
      <c r="AV15" t="s">
        <v>47</v>
      </c>
      <c r="AX15" t="s">
        <v>41</v>
      </c>
      <c r="AY15" t="s">
        <v>47</v>
      </c>
      <c r="AZ15" t="s">
        <v>41</v>
      </c>
      <c r="BC15" t="s">
        <v>56</v>
      </c>
      <c r="BD15" t="s">
        <v>22</v>
      </c>
      <c r="BE15" t="s">
        <v>39</v>
      </c>
      <c r="BF15" t="s">
        <v>23</v>
      </c>
      <c r="BG15" t="s">
        <v>39</v>
      </c>
      <c r="BH15" t="s">
        <v>12</v>
      </c>
      <c r="BI15" t="s">
        <v>29</v>
      </c>
      <c r="BL15" t="s">
        <v>30</v>
      </c>
      <c r="BO15" t="s">
        <v>45</v>
      </c>
      <c r="BP15" t="s">
        <v>47</v>
      </c>
      <c r="BQ15" t="s">
        <v>21</v>
      </c>
      <c r="BR15" t="s">
        <v>43</v>
      </c>
      <c r="BU15" t="s">
        <v>39</v>
      </c>
      <c r="BV15" t="s">
        <v>45</v>
      </c>
      <c r="BW15" t="s">
        <v>30</v>
      </c>
      <c r="BY15" t="s">
        <v>51</v>
      </c>
      <c r="CA15" t="s">
        <v>23</v>
      </c>
      <c r="CC15" t="s">
        <v>28</v>
      </c>
    </row>
    <row r="16" spans="1:86" ht="15" customHeight="1" x14ac:dyDescent="0.25">
      <c r="A16" t="s">
        <v>40</v>
      </c>
      <c r="D16" t="s">
        <v>42</v>
      </c>
      <c r="E16" t="s">
        <v>5</v>
      </c>
      <c r="G16" t="s">
        <v>19</v>
      </c>
      <c r="H16" t="s">
        <v>9</v>
      </c>
      <c r="J16" t="s">
        <v>40</v>
      </c>
      <c r="L16" t="s">
        <v>25</v>
      </c>
      <c r="M16" t="s">
        <v>13</v>
      </c>
      <c r="N16" t="s">
        <v>5</v>
      </c>
      <c r="P16" t="s">
        <v>5</v>
      </c>
      <c r="Q16" t="s">
        <v>25</v>
      </c>
      <c r="T16" t="s">
        <v>42</v>
      </c>
      <c r="U16" t="s">
        <v>19</v>
      </c>
      <c r="W16" t="s">
        <v>25</v>
      </c>
      <c r="AG16" t="s">
        <v>25</v>
      </c>
      <c r="AI16" t="s">
        <v>40</v>
      </c>
      <c r="AJ16" t="s">
        <v>49</v>
      </c>
      <c r="AN16" t="s">
        <v>6</v>
      </c>
      <c r="AP16" t="s">
        <v>24</v>
      </c>
      <c r="AT16" t="s">
        <v>9</v>
      </c>
      <c r="AV16" t="s">
        <v>6</v>
      </c>
      <c r="AX16" t="s">
        <v>31</v>
      </c>
      <c r="AY16" t="s">
        <v>50</v>
      </c>
      <c r="AZ16" t="s">
        <v>25</v>
      </c>
      <c r="BC16" t="s">
        <v>15</v>
      </c>
      <c r="BD16" t="s">
        <v>3</v>
      </c>
      <c r="BE16" t="s">
        <v>40</v>
      </c>
      <c r="BF16" t="s">
        <v>31</v>
      </c>
      <c r="BG16" t="s">
        <v>50</v>
      </c>
      <c r="BH16" t="s">
        <v>27</v>
      </c>
      <c r="BL16" t="s">
        <v>44</v>
      </c>
      <c r="BO16" t="s">
        <v>33</v>
      </c>
      <c r="BP16" t="s">
        <v>50</v>
      </c>
      <c r="BQ16" t="s">
        <v>3</v>
      </c>
      <c r="BR16" t="s">
        <v>35</v>
      </c>
      <c r="BU16" t="s">
        <v>25</v>
      </c>
      <c r="BV16" t="s">
        <v>3</v>
      </c>
      <c r="BW16" t="s">
        <v>49</v>
      </c>
      <c r="BY16" t="s">
        <v>49</v>
      </c>
      <c r="CA16" t="s">
        <v>15</v>
      </c>
      <c r="CC16" t="s">
        <v>6</v>
      </c>
    </row>
    <row r="17" spans="1:81" ht="15" customHeight="1" x14ac:dyDescent="0.25">
      <c r="A17" t="s">
        <v>35</v>
      </c>
      <c r="D17" t="s">
        <v>36</v>
      </c>
      <c r="E17" t="s">
        <v>27</v>
      </c>
      <c r="G17" t="s">
        <v>16</v>
      </c>
      <c r="H17" t="s">
        <v>15</v>
      </c>
      <c r="J17" t="s">
        <v>27</v>
      </c>
      <c r="L17" t="s">
        <v>3</v>
      </c>
      <c r="M17" t="s">
        <v>15</v>
      </c>
      <c r="N17" t="s">
        <v>6</v>
      </c>
      <c r="P17" t="s">
        <v>31</v>
      </c>
      <c r="Q17" t="s">
        <v>5</v>
      </c>
      <c r="T17" t="s">
        <v>44</v>
      </c>
      <c r="U17" t="s">
        <v>20</v>
      </c>
      <c r="W17" t="s">
        <v>27</v>
      </c>
      <c r="AG17" t="s">
        <v>20</v>
      </c>
      <c r="AI17" t="s">
        <v>33</v>
      </c>
      <c r="AJ17" t="s">
        <v>44</v>
      </c>
      <c r="AN17" t="s">
        <v>20</v>
      </c>
      <c r="AP17" t="s">
        <v>36</v>
      </c>
      <c r="AT17" t="s">
        <v>53</v>
      </c>
      <c r="AV17" t="s">
        <v>20</v>
      </c>
      <c r="AX17" t="s">
        <v>35</v>
      </c>
      <c r="AY17" t="s">
        <v>36</v>
      </c>
      <c r="AZ17" t="s">
        <v>24</v>
      </c>
      <c r="BC17" t="s">
        <v>37</v>
      </c>
      <c r="BD17" t="s">
        <v>4</v>
      </c>
      <c r="BE17" t="s">
        <v>49</v>
      </c>
      <c r="BF17" t="s">
        <v>24</v>
      </c>
      <c r="BG17" t="s">
        <v>40</v>
      </c>
      <c r="BH17" t="s">
        <v>36</v>
      </c>
      <c r="BL17" t="s">
        <v>37</v>
      </c>
      <c r="BO17" t="s">
        <v>16</v>
      </c>
      <c r="BP17" t="s">
        <v>40</v>
      </c>
      <c r="BQ17" t="s">
        <v>9</v>
      </c>
      <c r="BR17" t="s">
        <v>16</v>
      </c>
      <c r="BU17" t="s">
        <v>27</v>
      </c>
      <c r="BV17" t="s">
        <v>6</v>
      </c>
      <c r="BW17" t="s">
        <v>44</v>
      </c>
      <c r="BY17" t="s">
        <v>35</v>
      </c>
      <c r="CA17" t="s">
        <v>20</v>
      </c>
      <c r="CC17" t="s">
        <v>24</v>
      </c>
    </row>
    <row r="18" spans="1:81" ht="15" customHeight="1" x14ac:dyDescent="0.25">
      <c r="A18" t="s">
        <v>26</v>
      </c>
      <c r="D18" t="s">
        <v>43</v>
      </c>
      <c r="E18" t="s">
        <v>18</v>
      </c>
      <c r="G18" t="s">
        <v>22</v>
      </c>
      <c r="H18" t="s">
        <v>28</v>
      </c>
      <c r="J18" t="s">
        <v>17</v>
      </c>
      <c r="L18" t="s">
        <v>21</v>
      </c>
      <c r="M18" t="s">
        <v>12</v>
      </c>
      <c r="N18" t="s">
        <v>54</v>
      </c>
      <c r="P18" t="s">
        <v>10</v>
      </c>
      <c r="Q18" t="s">
        <v>28</v>
      </c>
      <c r="T18" t="s">
        <v>51</v>
      </c>
      <c r="U18" t="s">
        <v>17</v>
      </c>
      <c r="W18" t="s">
        <v>22</v>
      </c>
      <c r="AG18" t="s">
        <v>23</v>
      </c>
      <c r="AI18" t="s">
        <v>32</v>
      </c>
      <c r="AJ18" t="s">
        <v>41</v>
      </c>
      <c r="AN18" t="s">
        <v>17</v>
      </c>
      <c r="AP18" t="s">
        <v>21</v>
      </c>
      <c r="AT18" t="s">
        <v>11</v>
      </c>
      <c r="AV18" t="s">
        <v>23</v>
      </c>
      <c r="AX18" t="s">
        <v>17</v>
      </c>
      <c r="AY18" t="s">
        <v>38</v>
      </c>
      <c r="AZ18" t="s">
        <v>34</v>
      </c>
      <c r="BC18" t="s">
        <v>22</v>
      </c>
      <c r="BD18" t="s">
        <v>51</v>
      </c>
      <c r="BE18" t="s">
        <v>38</v>
      </c>
      <c r="BF18" t="s">
        <v>17</v>
      </c>
      <c r="BG18" t="s">
        <v>51</v>
      </c>
      <c r="BH18" t="s">
        <v>28</v>
      </c>
      <c r="BL18" t="s">
        <v>12</v>
      </c>
      <c r="BO18" t="s">
        <v>34</v>
      </c>
      <c r="BP18" t="s">
        <v>56</v>
      </c>
      <c r="BQ18" t="s">
        <v>32</v>
      </c>
      <c r="BR18" t="s">
        <v>51</v>
      </c>
      <c r="BU18" t="s">
        <v>29</v>
      </c>
      <c r="BV18" t="s">
        <v>22</v>
      </c>
      <c r="BW18" t="s">
        <v>12</v>
      </c>
      <c r="BY18" t="s">
        <v>26</v>
      </c>
      <c r="CA18" t="s">
        <v>59</v>
      </c>
      <c r="CC18" t="s">
        <v>10</v>
      </c>
    </row>
    <row r="19" spans="1:81" ht="15" customHeight="1" x14ac:dyDescent="0.25">
      <c r="A19" t="s">
        <v>41</v>
      </c>
      <c r="D19" t="s">
        <v>47</v>
      </c>
      <c r="E19" t="s">
        <v>8</v>
      </c>
      <c r="G19" t="s">
        <v>30</v>
      </c>
      <c r="H19" t="s">
        <v>8</v>
      </c>
      <c r="J19" t="s">
        <v>38</v>
      </c>
      <c r="L19" t="s">
        <v>12</v>
      </c>
      <c r="M19" t="s">
        <v>7</v>
      </c>
      <c r="N19" t="s">
        <v>39</v>
      </c>
      <c r="P19" t="s">
        <v>26</v>
      </c>
      <c r="Q19" t="s">
        <v>7</v>
      </c>
      <c r="T19" t="s">
        <v>45</v>
      </c>
      <c r="U19" t="s">
        <v>23</v>
      </c>
      <c r="W19" t="s">
        <v>26</v>
      </c>
      <c r="AG19" t="s">
        <v>22</v>
      </c>
      <c r="AI19" t="s">
        <v>46</v>
      </c>
      <c r="AJ19" t="s">
        <v>45</v>
      </c>
      <c r="AN19" t="s">
        <v>14</v>
      </c>
      <c r="AP19" t="s">
        <v>41</v>
      </c>
      <c r="AT19" t="s">
        <v>43</v>
      </c>
      <c r="AV19" t="s">
        <v>7</v>
      </c>
      <c r="AX19" t="s">
        <v>18</v>
      </c>
      <c r="AY19" t="s">
        <v>56</v>
      </c>
      <c r="AZ19" t="s">
        <v>28</v>
      </c>
      <c r="BC19" t="s">
        <v>26</v>
      </c>
      <c r="BD19" t="s">
        <v>47</v>
      </c>
      <c r="BE19" t="s">
        <v>45</v>
      </c>
      <c r="BF19" t="s">
        <v>28</v>
      </c>
      <c r="BG19" t="s">
        <v>47</v>
      </c>
      <c r="BH19" t="s">
        <v>26</v>
      </c>
      <c r="BL19" t="s">
        <v>45</v>
      </c>
      <c r="BO19" t="s">
        <v>30</v>
      </c>
      <c r="BP19" t="s">
        <v>55</v>
      </c>
      <c r="BQ19" t="s">
        <v>12</v>
      </c>
      <c r="BR19" t="s">
        <v>47</v>
      </c>
      <c r="BU19" t="s">
        <v>28</v>
      </c>
      <c r="BV19" t="s">
        <v>32</v>
      </c>
      <c r="BW19" t="s">
        <v>11</v>
      </c>
      <c r="BY19" t="s">
        <v>45</v>
      </c>
      <c r="CA19" t="s">
        <v>55</v>
      </c>
      <c r="CC19" t="s">
        <v>30</v>
      </c>
    </row>
    <row r="20" spans="1:81" ht="15" customHeight="1" x14ac:dyDescent="0.25">
      <c r="A20" t="s">
        <v>42</v>
      </c>
      <c r="D20" t="s">
        <v>35</v>
      </c>
      <c r="E20" t="s">
        <v>25</v>
      </c>
      <c r="G20" t="s">
        <v>5</v>
      </c>
      <c r="H20" t="s">
        <v>24</v>
      </c>
      <c r="J20" t="s">
        <v>3</v>
      </c>
      <c r="N20" t="s">
        <v>49</v>
      </c>
      <c r="P20" t="s">
        <v>40</v>
      </c>
      <c r="Q20" t="s">
        <v>50</v>
      </c>
      <c r="T20" t="s">
        <v>35</v>
      </c>
      <c r="U20" t="s">
        <v>3</v>
      </c>
      <c r="AG20" t="s">
        <v>36</v>
      </c>
      <c r="AI20" t="s">
        <v>13</v>
      </c>
      <c r="AJ20" t="s">
        <v>42</v>
      </c>
      <c r="AN20" t="s">
        <v>27</v>
      </c>
      <c r="AP20" t="s">
        <v>15</v>
      </c>
      <c r="AT20" t="s">
        <v>42</v>
      </c>
      <c r="AX20" t="s">
        <v>25</v>
      </c>
      <c r="AY20" t="s">
        <v>35</v>
      </c>
      <c r="AZ20" t="s">
        <v>31</v>
      </c>
      <c r="BC20" t="s">
        <v>27</v>
      </c>
      <c r="BD20" t="s">
        <v>40</v>
      </c>
      <c r="BE20" t="s">
        <v>15</v>
      </c>
      <c r="BF20" t="s">
        <v>27</v>
      </c>
      <c r="BG20" t="s">
        <v>31</v>
      </c>
      <c r="BH20" t="s">
        <v>42</v>
      </c>
      <c r="BP20" t="s">
        <v>27</v>
      </c>
      <c r="BQ20" t="s">
        <v>27</v>
      </c>
      <c r="BR20" t="s">
        <v>24</v>
      </c>
      <c r="BV20" t="s">
        <v>27</v>
      </c>
      <c r="BW20" t="s">
        <v>40</v>
      </c>
      <c r="BY20" t="s">
        <v>27</v>
      </c>
      <c r="CA20" t="s">
        <v>3</v>
      </c>
    </row>
    <row r="21" spans="1:81" ht="15" customHeight="1" x14ac:dyDescent="0.25">
      <c r="A21" t="s">
        <v>27</v>
      </c>
      <c r="D21" t="s">
        <v>24</v>
      </c>
      <c r="E21" t="s">
        <v>16</v>
      </c>
      <c r="G21" t="s">
        <v>35</v>
      </c>
      <c r="H21" t="s">
        <v>20</v>
      </c>
      <c r="J21" t="s">
        <v>6</v>
      </c>
      <c r="N21" t="s">
        <v>44</v>
      </c>
      <c r="P21" t="s">
        <v>15</v>
      </c>
      <c r="Q21" t="s">
        <v>27</v>
      </c>
      <c r="T21" t="s">
        <v>20</v>
      </c>
      <c r="U21" t="s">
        <v>48</v>
      </c>
      <c r="AG21" t="s">
        <v>37</v>
      </c>
      <c r="AI21" t="s">
        <v>20</v>
      </c>
      <c r="AJ21" t="s">
        <v>52</v>
      </c>
      <c r="AN21" t="s">
        <v>35</v>
      </c>
      <c r="AP21" t="s">
        <v>37</v>
      </c>
      <c r="AT21" t="s">
        <v>36</v>
      </c>
      <c r="AX21" t="s">
        <v>37</v>
      </c>
      <c r="AY21" t="s">
        <v>20</v>
      </c>
      <c r="AZ21" t="s">
        <v>40</v>
      </c>
      <c r="BC21" t="s">
        <v>20</v>
      </c>
      <c r="BD21" t="s">
        <v>20</v>
      </c>
      <c r="BE21" t="s">
        <v>36</v>
      </c>
      <c r="BF21" t="s">
        <v>37</v>
      </c>
      <c r="BG21" t="s">
        <v>16</v>
      </c>
      <c r="BH21" t="s">
        <v>20</v>
      </c>
      <c r="BP21" t="s">
        <v>35</v>
      </c>
      <c r="BQ21" t="s">
        <v>19</v>
      </c>
      <c r="BR21" t="s">
        <v>37</v>
      </c>
      <c r="BV21" t="s">
        <v>24</v>
      </c>
      <c r="BW21" t="s">
        <v>36</v>
      </c>
      <c r="BY21" t="s">
        <v>36</v>
      </c>
      <c r="CA21" t="s">
        <v>4</v>
      </c>
    </row>
    <row r="22" spans="1:81" ht="15" customHeight="1" x14ac:dyDescent="0.25">
      <c r="A22" t="s">
        <v>28</v>
      </c>
      <c r="D22" t="s">
        <v>23</v>
      </c>
      <c r="E22" t="s">
        <v>22</v>
      </c>
      <c r="G22" t="s">
        <v>10</v>
      </c>
      <c r="H22" t="s">
        <v>29</v>
      </c>
      <c r="J22" t="s">
        <v>26</v>
      </c>
      <c r="N22" t="s">
        <v>51</v>
      </c>
      <c r="P22" t="s">
        <v>41</v>
      </c>
      <c r="Q22" t="s">
        <v>38</v>
      </c>
      <c r="T22" t="s">
        <v>29</v>
      </c>
      <c r="U22" t="s">
        <v>8</v>
      </c>
      <c r="AG22" t="s">
        <v>43</v>
      </c>
      <c r="AI22" t="s">
        <v>29</v>
      </c>
      <c r="AJ22" t="s">
        <v>59</v>
      </c>
      <c r="AN22" t="s">
        <v>38</v>
      </c>
      <c r="AP22" t="s">
        <v>51</v>
      </c>
      <c r="AT22" t="s">
        <v>41</v>
      </c>
      <c r="AX22" t="s">
        <v>28</v>
      </c>
      <c r="AY22" t="s">
        <v>21</v>
      </c>
      <c r="AZ22" t="s">
        <v>46</v>
      </c>
      <c r="BC22" t="s">
        <v>23</v>
      </c>
      <c r="BD22" t="s">
        <v>28</v>
      </c>
      <c r="BE22" t="s">
        <v>23</v>
      </c>
      <c r="BF22" t="s">
        <v>38</v>
      </c>
      <c r="BG22" t="s">
        <v>17</v>
      </c>
      <c r="BH22" t="s">
        <v>23</v>
      </c>
      <c r="BP22" t="s">
        <v>21</v>
      </c>
      <c r="BQ22" t="s">
        <v>17</v>
      </c>
      <c r="BR22" t="s">
        <v>18</v>
      </c>
      <c r="BV22" t="s">
        <v>14</v>
      </c>
      <c r="BW22" t="s">
        <v>46</v>
      </c>
      <c r="BY22" t="s">
        <v>46</v>
      </c>
      <c r="CA22" t="s">
        <v>14</v>
      </c>
    </row>
    <row r="23" spans="1:81" ht="15" customHeight="1" x14ac:dyDescent="0.25">
      <c r="A23" t="s">
        <v>43</v>
      </c>
      <c r="D23" t="s">
        <v>30</v>
      </c>
      <c r="E23" t="s">
        <v>28</v>
      </c>
      <c r="G23" t="s">
        <v>21</v>
      </c>
      <c r="H23" t="s">
        <v>30</v>
      </c>
      <c r="J23" t="s">
        <v>30</v>
      </c>
      <c r="N23" t="s">
        <v>45</v>
      </c>
      <c r="P23" t="s">
        <v>55</v>
      </c>
      <c r="Q23" t="s">
        <v>30</v>
      </c>
      <c r="T23" t="s">
        <v>21</v>
      </c>
      <c r="U23" t="s">
        <v>12</v>
      </c>
      <c r="AG23" t="s">
        <v>46</v>
      </c>
      <c r="AI23" t="s">
        <v>11</v>
      </c>
      <c r="AJ23" t="s">
        <v>43</v>
      </c>
      <c r="AN23" t="s">
        <v>26</v>
      </c>
      <c r="AP23" t="s">
        <v>47</v>
      </c>
      <c r="AT23" t="s">
        <v>47</v>
      </c>
      <c r="AX23" t="s">
        <v>46</v>
      </c>
      <c r="AY23" t="s">
        <v>26</v>
      </c>
      <c r="AZ23" t="s">
        <v>30</v>
      </c>
      <c r="BC23" t="s">
        <v>29</v>
      </c>
      <c r="BD23" t="s">
        <v>46</v>
      </c>
      <c r="BE23" t="s">
        <v>26</v>
      </c>
      <c r="BF23" t="s">
        <v>46</v>
      </c>
      <c r="BG23" t="s">
        <v>29</v>
      </c>
      <c r="BH23" t="s">
        <v>41</v>
      </c>
      <c r="BP23" t="s">
        <v>22</v>
      </c>
      <c r="BQ23" t="s">
        <v>18</v>
      </c>
      <c r="BR23" t="s">
        <v>41</v>
      </c>
      <c r="BV23" t="s">
        <v>7</v>
      </c>
      <c r="BW23" t="s">
        <v>56</v>
      </c>
      <c r="BY23" t="s">
        <v>63</v>
      </c>
      <c r="CA23" t="s">
        <v>7</v>
      </c>
    </row>
    <row r="24" spans="1:81" ht="15" customHeight="1" x14ac:dyDescent="0.25">
      <c r="D24" t="s">
        <v>4</v>
      </c>
      <c r="H24" t="s">
        <v>25</v>
      </c>
      <c r="J24" t="s">
        <v>24</v>
      </c>
      <c r="P24" t="s">
        <v>25</v>
      </c>
      <c r="Q24" t="s">
        <v>44</v>
      </c>
      <c r="T24" t="s">
        <v>5</v>
      </c>
      <c r="AG24" t="s">
        <v>48</v>
      </c>
      <c r="AJ24" t="s">
        <v>19</v>
      </c>
      <c r="AX24" t="s">
        <v>24</v>
      </c>
      <c r="AY24" t="s">
        <v>15</v>
      </c>
      <c r="AZ24" t="s">
        <v>27</v>
      </c>
      <c r="BD24" t="s">
        <v>25</v>
      </c>
      <c r="BE24" t="s">
        <v>27</v>
      </c>
      <c r="BF24" t="s">
        <v>15</v>
      </c>
      <c r="BG24" t="s">
        <v>5</v>
      </c>
      <c r="BH24" t="s">
        <v>48</v>
      </c>
      <c r="BQ24" t="s">
        <v>24</v>
      </c>
      <c r="BR24" t="s">
        <v>15</v>
      </c>
      <c r="BY24" t="s">
        <v>50</v>
      </c>
      <c r="CA24" t="s">
        <v>25</v>
      </c>
    </row>
    <row r="25" spans="1:81" ht="15" customHeight="1" x14ac:dyDescent="0.25">
      <c r="D25" t="s">
        <v>48</v>
      </c>
      <c r="H25" t="s">
        <v>48</v>
      </c>
      <c r="J25" t="s">
        <v>37</v>
      </c>
      <c r="P25" t="s">
        <v>6</v>
      </c>
      <c r="Q25" t="s">
        <v>57</v>
      </c>
      <c r="T25" t="s">
        <v>16</v>
      </c>
      <c r="AG25" t="s">
        <v>16</v>
      </c>
      <c r="AJ25" t="s">
        <v>16</v>
      </c>
      <c r="AX25" t="s">
        <v>33</v>
      </c>
      <c r="AY25" t="s">
        <v>4</v>
      </c>
      <c r="AZ25" t="s">
        <v>19</v>
      </c>
      <c r="BD25" t="s">
        <v>9</v>
      </c>
      <c r="BE25" t="s">
        <v>16</v>
      </c>
      <c r="BF25" t="s">
        <v>48</v>
      </c>
      <c r="BG25" t="s">
        <v>9</v>
      </c>
      <c r="BH25" t="s">
        <v>37</v>
      </c>
      <c r="BQ25" t="s">
        <v>48</v>
      </c>
      <c r="BR25" t="s">
        <v>19</v>
      </c>
      <c r="BY25" t="s">
        <v>53</v>
      </c>
      <c r="CA25" t="s">
        <v>33</v>
      </c>
    </row>
    <row r="26" spans="1:81" ht="15" customHeight="1" x14ac:dyDescent="0.25">
      <c r="D26" t="s">
        <v>12</v>
      </c>
      <c r="H26" t="s">
        <v>22</v>
      </c>
      <c r="J26" t="s">
        <v>29</v>
      </c>
      <c r="P26" t="s">
        <v>28</v>
      </c>
      <c r="Q26" t="s">
        <v>41</v>
      </c>
      <c r="T26" t="s">
        <v>23</v>
      </c>
      <c r="AG26" t="s">
        <v>38</v>
      </c>
      <c r="AJ26" t="s">
        <v>23</v>
      </c>
      <c r="AX26" t="s">
        <v>23</v>
      </c>
      <c r="AY26" t="s">
        <v>10</v>
      </c>
      <c r="AZ26" t="s">
        <v>18</v>
      </c>
      <c r="BD26" t="s">
        <v>18</v>
      </c>
      <c r="BE26" t="s">
        <v>18</v>
      </c>
      <c r="BF26" t="s">
        <v>22</v>
      </c>
      <c r="BG26" t="s">
        <v>10</v>
      </c>
      <c r="BH26" t="s">
        <v>38</v>
      </c>
      <c r="BQ26" t="s">
        <v>22</v>
      </c>
      <c r="BR26" t="s">
        <v>12</v>
      </c>
      <c r="BY26" t="s">
        <v>28</v>
      </c>
      <c r="CA26" t="s">
        <v>29</v>
      </c>
    </row>
    <row r="27" spans="1:81" ht="15" customHeight="1" x14ac:dyDescent="0.25">
      <c r="D27" t="s">
        <v>41</v>
      </c>
      <c r="H27" t="s">
        <v>26</v>
      </c>
      <c r="J27" t="s">
        <v>46</v>
      </c>
      <c r="P27" t="s">
        <v>11</v>
      </c>
      <c r="Q27" t="s">
        <v>39</v>
      </c>
      <c r="T27" t="s">
        <v>11</v>
      </c>
      <c r="AG27" t="s">
        <v>28</v>
      </c>
      <c r="AJ27" t="s">
        <v>21</v>
      </c>
      <c r="AX27" t="s">
        <v>22</v>
      </c>
      <c r="AY27" t="s">
        <v>32</v>
      </c>
      <c r="AZ27" t="s">
        <v>29</v>
      </c>
      <c r="BD27" t="s">
        <v>11</v>
      </c>
      <c r="BE27" t="s">
        <v>22</v>
      </c>
      <c r="BF27" t="s">
        <v>26</v>
      </c>
      <c r="BG27" t="s">
        <v>7</v>
      </c>
      <c r="BH27" t="s">
        <v>46</v>
      </c>
      <c r="BQ27" t="s">
        <v>30</v>
      </c>
      <c r="BR27" t="s">
        <v>11</v>
      </c>
      <c r="BY27" t="s">
        <v>30</v>
      </c>
      <c r="CA27" t="s">
        <v>30</v>
      </c>
    </row>
    <row r="28" spans="1:81" ht="15" customHeight="1" x14ac:dyDescent="0.25"/>
    <row r="29" spans="1:81" ht="15" customHeight="1" x14ac:dyDescent="0.25"/>
    <row r="30" spans="1:81" ht="15" customHeight="1" x14ac:dyDescent="0.25"/>
    <row r="31" spans="1:81" ht="15" customHeight="1" x14ac:dyDescent="0.25"/>
    <row r="32" spans="1:8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H14"/>
  <sheetViews>
    <sheetView zoomScale="96" zoomScaleNormal="96" workbookViewId="0">
      <selection activeCell="CD35" sqref="CD35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70.7109375" customWidth="1"/>
    <col min="73" max="73" width="25.42578125" customWidth="1"/>
    <col min="74" max="74" width="25.5703125" customWidth="1"/>
    <col min="75" max="75" width="66.140625" customWidth="1"/>
    <col min="76" max="76" width="56.28515625" customWidth="1"/>
    <col min="77" max="77" width="41.28515625" customWidth="1"/>
    <col min="78" max="78" width="75.7109375" customWidth="1"/>
    <col min="79" max="79" width="65.7109375" customWidth="1"/>
    <col min="80" max="80" width="52.28515625" customWidth="1"/>
    <col min="81" max="81" width="49.7109375" customWidth="1"/>
    <col min="82" max="82" width="56.42578125" customWidth="1"/>
    <col min="83" max="83" width="57.42578125" customWidth="1"/>
    <col min="86" max="86" width="44.42578125" customWidth="1"/>
    <col min="87" max="87" width="54.28515625" customWidth="1"/>
    <col min="98" max="98" width="66.85546875" customWidth="1"/>
    <col min="101" max="101" width="57.5703125" customWidth="1"/>
  </cols>
  <sheetData>
    <row r="3" spans="1:86" ht="15" customHeight="1" x14ac:dyDescent="0.25">
      <c r="A3" t="s">
        <v>69</v>
      </c>
      <c r="B3" t="s">
        <v>70</v>
      </c>
      <c r="C3" t="s">
        <v>64</v>
      </c>
      <c r="D3" t="s">
        <v>65</v>
      </c>
      <c r="E3" t="s">
        <v>74</v>
      </c>
      <c r="F3" t="s">
        <v>84</v>
      </c>
      <c r="G3" t="s">
        <v>66</v>
      </c>
      <c r="H3" t="s">
        <v>75</v>
      </c>
      <c r="I3" t="s">
        <v>94</v>
      </c>
      <c r="J3" t="s">
        <v>71</v>
      </c>
      <c r="K3" t="s">
        <v>82</v>
      </c>
      <c r="L3" t="s">
        <v>85</v>
      </c>
      <c r="M3" t="s">
        <v>67</v>
      </c>
      <c r="N3" t="s">
        <v>68</v>
      </c>
      <c r="O3" t="s">
        <v>95</v>
      </c>
      <c r="P3" t="s">
        <v>72</v>
      </c>
      <c r="Q3" t="s">
        <v>76</v>
      </c>
      <c r="R3" t="s">
        <v>108</v>
      </c>
      <c r="S3" t="s">
        <v>92</v>
      </c>
      <c r="T3" t="s">
        <v>91</v>
      </c>
      <c r="U3" t="s">
        <v>77</v>
      </c>
      <c r="V3" t="s">
        <v>78</v>
      </c>
      <c r="W3" t="s">
        <v>96</v>
      </c>
      <c r="X3" t="s">
        <v>120</v>
      </c>
      <c r="Y3" t="s">
        <v>119</v>
      </c>
      <c r="Z3" t="s">
        <v>117</v>
      </c>
      <c r="AA3" t="s">
        <v>112</v>
      </c>
      <c r="AB3" t="s">
        <v>114</v>
      </c>
      <c r="AC3" t="s">
        <v>126</v>
      </c>
      <c r="AD3" t="s">
        <v>109</v>
      </c>
      <c r="AE3" t="s">
        <v>102</v>
      </c>
      <c r="AF3" t="s">
        <v>87</v>
      </c>
      <c r="AG3" t="s">
        <v>104</v>
      </c>
      <c r="AH3" t="s">
        <v>86</v>
      </c>
      <c r="AI3" t="s">
        <v>81</v>
      </c>
      <c r="AJ3" t="s">
        <v>89</v>
      </c>
      <c r="AK3" t="s">
        <v>118</v>
      </c>
      <c r="AL3" t="s">
        <v>113</v>
      </c>
      <c r="AM3" t="s">
        <v>132</v>
      </c>
      <c r="AN3" t="s">
        <v>88</v>
      </c>
      <c r="AO3" t="s">
        <v>131</v>
      </c>
      <c r="AP3" t="s">
        <v>98</v>
      </c>
      <c r="AQ3" t="s">
        <v>127</v>
      </c>
      <c r="AR3" t="s">
        <v>134</v>
      </c>
      <c r="AS3" t="s">
        <v>73</v>
      </c>
      <c r="AT3" t="s">
        <v>97</v>
      </c>
      <c r="AU3" t="s">
        <v>130</v>
      </c>
      <c r="AV3" t="s">
        <v>121</v>
      </c>
      <c r="AW3" t="s">
        <v>123</v>
      </c>
      <c r="AX3" t="s">
        <v>90</v>
      </c>
      <c r="AY3" t="s">
        <v>105</v>
      </c>
      <c r="AZ3" t="s">
        <v>83</v>
      </c>
      <c r="BA3" t="s">
        <v>138</v>
      </c>
      <c r="BB3" t="s">
        <v>137</v>
      </c>
      <c r="BC3" t="s">
        <v>100</v>
      </c>
      <c r="BD3" t="s">
        <v>128</v>
      </c>
      <c r="BE3" t="s">
        <v>79</v>
      </c>
      <c r="BF3" t="s">
        <v>99</v>
      </c>
      <c r="BG3" t="s">
        <v>110</v>
      </c>
      <c r="BH3" t="s">
        <v>101</v>
      </c>
      <c r="BI3" t="s">
        <v>125</v>
      </c>
      <c r="BJ3" t="s">
        <v>136</v>
      </c>
      <c r="BK3" t="s">
        <v>141</v>
      </c>
      <c r="BL3" t="s">
        <v>135</v>
      </c>
      <c r="BM3" t="s">
        <v>147</v>
      </c>
      <c r="BN3" t="s">
        <v>144</v>
      </c>
      <c r="BO3" t="s">
        <v>93</v>
      </c>
      <c r="BP3" t="s">
        <v>115</v>
      </c>
      <c r="BQ3" t="s">
        <v>122</v>
      </c>
      <c r="BR3" t="s">
        <v>106</v>
      </c>
      <c r="BS3" t="s">
        <v>143</v>
      </c>
      <c r="BT3" t="s">
        <v>124</v>
      </c>
      <c r="BU3" t="s">
        <v>116</v>
      </c>
      <c r="BV3" t="s">
        <v>111</v>
      </c>
      <c r="BW3" t="s">
        <v>129</v>
      </c>
      <c r="BX3" t="s">
        <v>146</v>
      </c>
      <c r="BY3" t="s">
        <v>80</v>
      </c>
      <c r="BZ3" t="s">
        <v>142</v>
      </c>
      <c r="CA3" t="s">
        <v>107</v>
      </c>
      <c r="CB3" t="s">
        <v>103</v>
      </c>
      <c r="CC3" t="s">
        <v>139</v>
      </c>
      <c r="CD3" t="s">
        <v>133</v>
      </c>
      <c r="CE3" t="s">
        <v>149</v>
      </c>
      <c r="CF3" t="s">
        <v>145</v>
      </c>
      <c r="CG3" t="s">
        <v>148</v>
      </c>
      <c r="CH3" t="s">
        <v>140</v>
      </c>
    </row>
    <row r="4" spans="1:86" ht="15" customHeight="1" x14ac:dyDescent="0.25">
      <c r="A4" t="s">
        <v>151</v>
      </c>
      <c r="B4" t="s">
        <v>152</v>
      </c>
      <c r="C4" t="s">
        <v>153</v>
      </c>
      <c r="D4" t="s">
        <v>154</v>
      </c>
      <c r="E4" t="s">
        <v>155</v>
      </c>
      <c r="F4" t="s">
        <v>156</v>
      </c>
      <c r="G4" t="s">
        <v>157</v>
      </c>
      <c r="H4" t="s">
        <v>158</v>
      </c>
      <c r="I4" t="s">
        <v>159</v>
      </c>
      <c r="J4" t="s">
        <v>160</v>
      </c>
      <c r="K4" t="s">
        <v>161</v>
      </c>
      <c r="L4" t="s">
        <v>162</v>
      </c>
      <c r="M4" t="s">
        <v>163</v>
      </c>
      <c r="N4" t="s">
        <v>164</v>
      </c>
      <c r="O4" t="s">
        <v>165</v>
      </c>
      <c r="P4" t="s">
        <v>166</v>
      </c>
      <c r="Q4" t="s">
        <v>167</v>
      </c>
      <c r="R4" t="s">
        <v>168</v>
      </c>
      <c r="S4" t="s">
        <v>169</v>
      </c>
      <c r="T4" t="s">
        <v>170</v>
      </c>
      <c r="U4" t="s">
        <v>171</v>
      </c>
      <c r="V4" t="s">
        <v>172</v>
      </c>
      <c r="W4" t="s">
        <v>173</v>
      </c>
      <c r="X4" t="s">
        <v>174</v>
      </c>
      <c r="Y4" t="s">
        <v>175</v>
      </c>
      <c r="Z4" t="s">
        <v>176</v>
      </c>
      <c r="AA4" t="s">
        <v>177</v>
      </c>
      <c r="AB4" t="s">
        <v>178</v>
      </c>
      <c r="AC4" t="s">
        <v>179</v>
      </c>
      <c r="AD4" t="s">
        <v>180</v>
      </c>
      <c r="AE4" t="s">
        <v>157</v>
      </c>
      <c r="AF4" t="s">
        <v>181</v>
      </c>
      <c r="AG4" t="s">
        <v>182</v>
      </c>
      <c r="AH4" t="s">
        <v>183</v>
      </c>
      <c r="AI4" t="s">
        <v>184</v>
      </c>
      <c r="AJ4" t="s">
        <v>185</v>
      </c>
      <c r="AK4" t="s">
        <v>186</v>
      </c>
      <c r="AL4" t="s">
        <v>187</v>
      </c>
      <c r="AM4" t="s">
        <v>188</v>
      </c>
      <c r="AN4" t="s">
        <v>189</v>
      </c>
      <c r="AO4" t="s">
        <v>190</v>
      </c>
      <c r="AP4" t="s">
        <v>191</v>
      </c>
      <c r="AQ4" t="s">
        <v>192</v>
      </c>
      <c r="AR4" t="s">
        <v>193</v>
      </c>
      <c r="AS4" t="s">
        <v>194</v>
      </c>
      <c r="AT4" t="s">
        <v>195</v>
      </c>
      <c r="AU4" t="s">
        <v>196</v>
      </c>
      <c r="AV4" t="s">
        <v>197</v>
      </c>
      <c r="AW4" t="s">
        <v>198</v>
      </c>
      <c r="AX4" t="s">
        <v>199</v>
      </c>
      <c r="AY4" t="s">
        <v>200</v>
      </c>
      <c r="AZ4" t="s">
        <v>201</v>
      </c>
      <c r="BA4" t="s">
        <v>202</v>
      </c>
      <c r="BB4" t="s">
        <v>203</v>
      </c>
      <c r="BC4" t="s">
        <v>204</v>
      </c>
      <c r="BD4" t="s">
        <v>205</v>
      </c>
      <c r="BE4" t="s">
        <v>206</v>
      </c>
      <c r="BF4" t="s">
        <v>207</v>
      </c>
      <c r="BG4" t="s">
        <v>208</v>
      </c>
      <c r="BH4" t="s">
        <v>209</v>
      </c>
      <c r="BI4" t="s">
        <v>210</v>
      </c>
      <c r="BJ4" t="s">
        <v>211</v>
      </c>
      <c r="BK4" t="s">
        <v>212</v>
      </c>
      <c r="BL4" t="s">
        <v>213</v>
      </c>
      <c r="BM4" t="s">
        <v>214</v>
      </c>
      <c r="BN4" t="s">
        <v>215</v>
      </c>
      <c r="BO4" t="s">
        <v>216</v>
      </c>
      <c r="BP4" t="s">
        <v>217</v>
      </c>
      <c r="BQ4" t="s">
        <v>218</v>
      </c>
      <c r="BR4" t="s">
        <v>219</v>
      </c>
      <c r="BS4" t="s">
        <v>220</v>
      </c>
      <c r="BT4" t="s">
        <v>221</v>
      </c>
      <c r="BU4" t="s">
        <v>222</v>
      </c>
      <c r="BV4" t="s">
        <v>223</v>
      </c>
      <c r="BW4" t="s">
        <v>224</v>
      </c>
      <c r="BX4" t="s">
        <v>225</v>
      </c>
      <c r="BY4" t="s">
        <v>226</v>
      </c>
      <c r="BZ4" t="s">
        <v>227</v>
      </c>
      <c r="CA4" t="s">
        <v>228</v>
      </c>
      <c r="CB4" t="s">
        <v>229</v>
      </c>
      <c r="CC4" t="s">
        <v>230</v>
      </c>
      <c r="CD4" t="s">
        <v>231</v>
      </c>
      <c r="CE4" t="s">
        <v>232</v>
      </c>
      <c r="CF4" t="s">
        <v>233</v>
      </c>
      <c r="CG4" t="s">
        <v>234</v>
      </c>
      <c r="CH4" t="s">
        <v>235</v>
      </c>
    </row>
    <row r="5" spans="1:86" ht="15" customHeight="1" x14ac:dyDescent="0.25">
      <c r="A5" t="s">
        <v>236</v>
      </c>
      <c r="D5" t="s">
        <v>237</v>
      </c>
      <c r="E5" t="s">
        <v>238</v>
      </c>
      <c r="G5" t="s">
        <v>239</v>
      </c>
      <c r="H5" t="s">
        <v>240</v>
      </c>
      <c r="I5" t="s">
        <v>241</v>
      </c>
      <c r="J5" t="s">
        <v>242</v>
      </c>
      <c r="K5" t="s">
        <v>243</v>
      </c>
      <c r="L5" t="s">
        <v>244</v>
      </c>
      <c r="M5" t="s">
        <v>245</v>
      </c>
      <c r="N5" t="s">
        <v>246</v>
      </c>
      <c r="P5" t="s">
        <v>247</v>
      </c>
      <c r="Q5" t="s">
        <v>168</v>
      </c>
      <c r="T5" t="s">
        <v>248</v>
      </c>
      <c r="U5" t="s">
        <v>249</v>
      </c>
      <c r="W5" t="s">
        <v>250</v>
      </c>
      <c r="AA5" t="s">
        <v>251</v>
      </c>
      <c r="AB5" t="s">
        <v>252</v>
      </c>
      <c r="AE5" t="s">
        <v>253</v>
      </c>
      <c r="AG5" t="s">
        <v>254</v>
      </c>
      <c r="AI5" t="s">
        <v>255</v>
      </c>
      <c r="AJ5" t="s">
        <v>256</v>
      </c>
      <c r="AK5" t="s">
        <v>257</v>
      </c>
      <c r="AN5" t="s">
        <v>258</v>
      </c>
      <c r="AP5" t="s">
        <v>259</v>
      </c>
      <c r="AS5" t="s">
        <v>260</v>
      </c>
      <c r="AT5" t="s">
        <v>261</v>
      </c>
      <c r="AV5" t="s">
        <v>262</v>
      </c>
      <c r="AX5" t="s">
        <v>263</v>
      </c>
      <c r="AY5" t="s">
        <v>264</v>
      </c>
      <c r="AZ5" t="s">
        <v>265</v>
      </c>
      <c r="BB5" t="s">
        <v>266</v>
      </c>
      <c r="BC5" t="s">
        <v>267</v>
      </c>
      <c r="BD5" t="s">
        <v>268</v>
      </c>
      <c r="BE5" t="s">
        <v>269</v>
      </c>
      <c r="BF5" t="s">
        <v>270</v>
      </c>
      <c r="BG5" t="s">
        <v>271</v>
      </c>
      <c r="BH5" t="s">
        <v>272</v>
      </c>
      <c r="BI5" t="s">
        <v>273</v>
      </c>
      <c r="BJ5" t="s">
        <v>274</v>
      </c>
      <c r="BL5" t="s">
        <v>275</v>
      </c>
      <c r="BO5" t="s">
        <v>276</v>
      </c>
      <c r="BP5" t="s">
        <v>277</v>
      </c>
      <c r="BQ5" t="s">
        <v>278</v>
      </c>
      <c r="BR5" t="s">
        <v>279</v>
      </c>
      <c r="BU5" t="s">
        <v>280</v>
      </c>
      <c r="BV5" t="s">
        <v>281</v>
      </c>
      <c r="BW5" t="s">
        <v>282</v>
      </c>
      <c r="BY5" t="s">
        <v>283</v>
      </c>
      <c r="BZ5" t="s">
        <v>284</v>
      </c>
      <c r="CA5" t="s">
        <v>285</v>
      </c>
      <c r="CC5" t="s">
        <v>286</v>
      </c>
      <c r="CD5" t="s">
        <v>287</v>
      </c>
      <c r="CF5" t="s">
        <v>288</v>
      </c>
      <c r="CG5" t="s">
        <v>289</v>
      </c>
      <c r="CH5" t="s">
        <v>290</v>
      </c>
    </row>
    <row r="6" spans="1:86" ht="15" customHeight="1" x14ac:dyDescent="0.25">
      <c r="A6" t="s">
        <v>291</v>
      </c>
      <c r="D6" t="s">
        <v>292</v>
      </c>
      <c r="E6" t="s">
        <v>293</v>
      </c>
      <c r="G6" t="s">
        <v>294</v>
      </c>
      <c r="H6" t="s">
        <v>295</v>
      </c>
      <c r="J6" t="s">
        <v>296</v>
      </c>
      <c r="L6" t="s">
        <v>297</v>
      </c>
      <c r="M6" t="s">
        <v>298</v>
      </c>
      <c r="N6" t="s">
        <v>299</v>
      </c>
      <c r="P6" t="s">
        <v>300</v>
      </c>
      <c r="Q6" t="s">
        <v>301</v>
      </c>
      <c r="T6" t="s">
        <v>302</v>
      </c>
      <c r="U6" t="s">
        <v>303</v>
      </c>
      <c r="W6" t="s">
        <v>304</v>
      </c>
      <c r="AE6" t="s">
        <v>305</v>
      </c>
      <c r="AG6" t="s">
        <v>306</v>
      </c>
      <c r="AI6" t="s">
        <v>307</v>
      </c>
      <c r="AJ6" t="s">
        <v>308</v>
      </c>
      <c r="AN6" t="s">
        <v>309</v>
      </c>
      <c r="AP6" t="s">
        <v>310</v>
      </c>
      <c r="AT6" t="s">
        <v>311</v>
      </c>
      <c r="AV6" t="s">
        <v>312</v>
      </c>
      <c r="AX6" t="s">
        <v>313</v>
      </c>
      <c r="AY6" t="s">
        <v>314</v>
      </c>
      <c r="AZ6" t="s">
        <v>315</v>
      </c>
      <c r="BC6" t="s">
        <v>316</v>
      </c>
      <c r="BD6" t="s">
        <v>317</v>
      </c>
      <c r="BE6" t="s">
        <v>318</v>
      </c>
      <c r="BF6" t="s">
        <v>319</v>
      </c>
      <c r="BG6" t="s">
        <v>320</v>
      </c>
      <c r="BH6" t="s">
        <v>321</v>
      </c>
      <c r="BI6" t="s">
        <v>322</v>
      </c>
      <c r="BL6" t="s">
        <v>323</v>
      </c>
      <c r="BO6" t="s">
        <v>324</v>
      </c>
      <c r="BP6" t="s">
        <v>325</v>
      </c>
      <c r="BQ6" t="s">
        <v>326</v>
      </c>
      <c r="BR6" t="s">
        <v>327</v>
      </c>
      <c r="BU6" t="s">
        <v>328</v>
      </c>
      <c r="BV6" t="s">
        <v>329</v>
      </c>
      <c r="BW6" t="s">
        <v>330</v>
      </c>
      <c r="BY6" t="s">
        <v>331</v>
      </c>
      <c r="CA6" t="s">
        <v>332</v>
      </c>
      <c r="CC6" t="s">
        <v>333</v>
      </c>
    </row>
    <row r="7" spans="1:86" ht="15" customHeight="1" x14ac:dyDescent="0.25">
      <c r="A7" t="s">
        <v>334</v>
      </c>
      <c r="D7" t="s">
        <v>335</v>
      </c>
      <c r="E7" t="s">
        <v>336</v>
      </c>
      <c r="G7" t="s">
        <v>337</v>
      </c>
      <c r="H7" t="s">
        <v>338</v>
      </c>
      <c r="J7" t="s">
        <v>339</v>
      </c>
      <c r="L7" t="s">
        <v>340</v>
      </c>
      <c r="M7" t="s">
        <v>341</v>
      </c>
      <c r="N7" t="s">
        <v>342</v>
      </c>
      <c r="P7" t="s">
        <v>343</v>
      </c>
      <c r="Q7" t="s">
        <v>344</v>
      </c>
      <c r="T7" t="s">
        <v>345</v>
      </c>
      <c r="U7" t="s">
        <v>346</v>
      </c>
      <c r="W7" t="s">
        <v>347</v>
      </c>
      <c r="AG7" t="s">
        <v>348</v>
      </c>
      <c r="AI7" t="s">
        <v>349</v>
      </c>
      <c r="AJ7" t="s">
        <v>186</v>
      </c>
      <c r="AN7" t="s">
        <v>350</v>
      </c>
      <c r="AP7" t="s">
        <v>351</v>
      </c>
      <c r="AT7" t="s">
        <v>352</v>
      </c>
      <c r="AV7" t="s">
        <v>353</v>
      </c>
      <c r="AX7" t="s">
        <v>354</v>
      </c>
      <c r="AY7" t="s">
        <v>355</v>
      </c>
      <c r="AZ7" t="s">
        <v>356</v>
      </c>
      <c r="BC7" t="s">
        <v>357</v>
      </c>
      <c r="BD7" t="s">
        <v>358</v>
      </c>
      <c r="BE7" t="s">
        <v>359</v>
      </c>
      <c r="BF7" t="s">
        <v>360</v>
      </c>
      <c r="BG7" t="s">
        <v>361</v>
      </c>
      <c r="BH7" t="s">
        <v>362</v>
      </c>
      <c r="BL7" t="s">
        <v>363</v>
      </c>
      <c r="BO7" t="s">
        <v>364</v>
      </c>
      <c r="BP7" t="s">
        <v>365</v>
      </c>
      <c r="BQ7" t="s">
        <v>366</v>
      </c>
      <c r="BR7" t="s">
        <v>367</v>
      </c>
      <c r="BU7" t="s">
        <v>368</v>
      </c>
      <c r="BV7" t="s">
        <v>369</v>
      </c>
      <c r="BW7" t="s">
        <v>370</v>
      </c>
      <c r="BY7" t="s">
        <v>371</v>
      </c>
      <c r="CA7" t="s">
        <v>372</v>
      </c>
      <c r="CC7" t="s">
        <v>373</v>
      </c>
    </row>
    <row r="8" spans="1:86" ht="15" customHeight="1" x14ac:dyDescent="0.25">
      <c r="A8" t="s">
        <v>374</v>
      </c>
      <c r="D8" t="s">
        <v>375</v>
      </c>
      <c r="E8" t="s">
        <v>376</v>
      </c>
      <c r="G8" t="s">
        <v>377</v>
      </c>
      <c r="H8" t="s">
        <v>378</v>
      </c>
      <c r="J8" t="s">
        <v>379</v>
      </c>
      <c r="N8" t="s">
        <v>380</v>
      </c>
      <c r="P8" t="s">
        <v>381</v>
      </c>
      <c r="Q8" t="s">
        <v>382</v>
      </c>
      <c r="T8" t="s">
        <v>383</v>
      </c>
      <c r="U8" t="s">
        <v>384</v>
      </c>
      <c r="AG8" t="s">
        <v>385</v>
      </c>
      <c r="AI8" t="s">
        <v>386</v>
      </c>
      <c r="AJ8" t="s">
        <v>387</v>
      </c>
      <c r="AN8" t="s">
        <v>388</v>
      </c>
      <c r="AP8" t="s">
        <v>389</v>
      </c>
      <c r="AT8" t="s">
        <v>390</v>
      </c>
      <c r="AX8" t="s">
        <v>391</v>
      </c>
      <c r="AY8" t="s">
        <v>392</v>
      </c>
      <c r="AZ8" t="s">
        <v>393</v>
      </c>
      <c r="BC8" t="s">
        <v>394</v>
      </c>
      <c r="BD8" t="s">
        <v>395</v>
      </c>
      <c r="BE8" t="s">
        <v>396</v>
      </c>
      <c r="BF8" t="s">
        <v>397</v>
      </c>
      <c r="BG8" t="s">
        <v>398</v>
      </c>
      <c r="BH8" t="s">
        <v>399</v>
      </c>
      <c r="BP8" t="s">
        <v>400</v>
      </c>
      <c r="BQ8" t="s">
        <v>401</v>
      </c>
      <c r="BR8" t="s">
        <v>402</v>
      </c>
      <c r="BV8" t="s">
        <v>403</v>
      </c>
      <c r="BW8" t="s">
        <v>404</v>
      </c>
      <c r="BY8" t="s">
        <v>405</v>
      </c>
      <c r="CA8" t="s">
        <v>406</v>
      </c>
    </row>
    <row r="9" spans="1:86" ht="15" customHeight="1" x14ac:dyDescent="0.25">
      <c r="D9" t="s">
        <v>407</v>
      </c>
      <c r="H9" t="s">
        <v>408</v>
      </c>
      <c r="J9" t="s">
        <v>409</v>
      </c>
      <c r="P9" t="s">
        <v>410</v>
      </c>
      <c r="Q9" t="s">
        <v>411</v>
      </c>
      <c r="T9" t="s">
        <v>412</v>
      </c>
      <c r="AG9" t="s">
        <v>413</v>
      </c>
      <c r="AJ9" t="s">
        <v>414</v>
      </c>
      <c r="AX9" t="s">
        <v>415</v>
      </c>
      <c r="AY9" t="s">
        <v>416</v>
      </c>
      <c r="AZ9" t="s">
        <v>417</v>
      </c>
      <c r="BD9" t="s">
        <v>418</v>
      </c>
      <c r="BE9" t="s">
        <v>419</v>
      </c>
      <c r="BF9" t="s">
        <v>420</v>
      </c>
      <c r="BG9" t="s">
        <v>421</v>
      </c>
      <c r="BH9" t="s">
        <v>193</v>
      </c>
      <c r="BQ9" t="s">
        <v>422</v>
      </c>
      <c r="BR9" t="s">
        <v>423</v>
      </c>
      <c r="BY9" t="s">
        <v>424</v>
      </c>
      <c r="CA9" t="s">
        <v>425</v>
      </c>
    </row>
    <row r="10" spans="1:86" ht="15" customHeight="1" x14ac:dyDescent="0.25"/>
    <row r="11" spans="1:86" ht="15" customHeight="1" x14ac:dyDescent="0.25"/>
    <row r="12" spans="1:86" ht="15" customHeight="1" x14ac:dyDescent="0.25"/>
    <row r="13" spans="1:86" ht="15" customHeight="1" x14ac:dyDescent="0.25"/>
    <row r="14" spans="1:86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activeCell="H29" sqref="H29"/>
    </sheetView>
  </sheetViews>
  <sheetFormatPr defaultRowHeight="15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2" t="s">
        <v>426</v>
      </c>
      <c r="B1" s="63"/>
      <c r="C1" s="5">
        <f>COUNTIF(AHL_DAT_STRING!4:18,"&lt;&gt;")</f>
        <v>279</v>
      </c>
    </row>
    <row r="2" spans="1:12" ht="15.75" customHeight="1" x14ac:dyDescent="0.25">
      <c r="A2" s="64" t="s">
        <v>427</v>
      </c>
      <c r="B2" s="65"/>
      <c r="C2" s="6">
        <f>C1*4</f>
        <v>1116</v>
      </c>
    </row>
    <row r="3" spans="1:12" x14ac:dyDescent="0.25">
      <c r="A3" s="7" t="s">
        <v>427</v>
      </c>
      <c r="B3" s="8">
        <f>COUNTIF(AHL!4:50, "&lt;&gt;")</f>
        <v>1116</v>
      </c>
      <c r="E3" s="66" t="s">
        <v>428</v>
      </c>
      <c r="F3" s="65"/>
      <c r="G3" s="65"/>
      <c r="H3" s="65"/>
    </row>
    <row r="4" spans="1:12" ht="15.75" customHeight="1" x14ac:dyDescent="0.25">
      <c r="A4" s="9" t="s">
        <v>429</v>
      </c>
      <c r="B4" s="10">
        <f>SUMIF(AHL!2:2,"sl",AHL!1:1)</f>
        <v>195</v>
      </c>
      <c r="C4">
        <f>AHL!AH1</f>
        <v>19</v>
      </c>
      <c r="E4" t="s">
        <v>430</v>
      </c>
      <c r="F4" t="s">
        <v>431</v>
      </c>
      <c r="G4" t="s">
        <v>432</v>
      </c>
      <c r="H4" t="s">
        <v>433</v>
      </c>
      <c r="I4" t="s">
        <v>434</v>
      </c>
      <c r="J4" t="s">
        <v>435</v>
      </c>
      <c r="K4" t="s">
        <v>436</v>
      </c>
      <c r="L4" t="s">
        <v>437</v>
      </c>
    </row>
    <row r="5" spans="1:12" ht="15.75" customHeight="1" x14ac:dyDescent="0.25">
      <c r="A5" s="9" t="s">
        <v>438</v>
      </c>
      <c r="B5" s="10">
        <f>SUMIF(AHL!2:2,"hr",AHL!1:1)</f>
        <v>0</v>
      </c>
      <c r="E5" s="11" t="s">
        <v>429</v>
      </c>
      <c r="F5" s="12">
        <v>1</v>
      </c>
      <c r="G5" s="13">
        <f>F5/13</f>
        <v>7.6923076923076927E-2</v>
      </c>
      <c r="H5" s="14">
        <f>B4/B3</f>
        <v>0.17473118279569894</v>
      </c>
      <c r="I5" s="15">
        <f>C2*G5</f>
        <v>85.846153846153854</v>
      </c>
      <c r="J5" s="16">
        <f>B4</f>
        <v>195</v>
      </c>
      <c r="K5" s="17">
        <f>J5-I5</f>
        <v>109.15384615384615</v>
      </c>
      <c r="L5" s="18">
        <f>K5/4</f>
        <v>27.288461538461537</v>
      </c>
    </row>
    <row r="6" spans="1:12" ht="15.75" customHeight="1" x14ac:dyDescent="0.25">
      <c r="A6" s="9" t="s">
        <v>1</v>
      </c>
      <c r="B6" s="10">
        <f>SUMIF(AHL!2:2,"it",AHL!1:1)</f>
        <v>452</v>
      </c>
      <c r="C6">
        <f>AHL!AB1</f>
        <v>22</v>
      </c>
      <c r="E6" s="19" t="s">
        <v>438</v>
      </c>
      <c r="F6" s="20">
        <v>1</v>
      </c>
      <c r="G6" s="21">
        <f>F6/13</f>
        <v>7.6923076923076927E-2</v>
      </c>
      <c r="H6" s="14">
        <f>B5/B3</f>
        <v>0</v>
      </c>
      <c r="I6" s="22">
        <f>C2*G6</f>
        <v>85.846153846153854</v>
      </c>
      <c r="J6" s="16">
        <f>B5</f>
        <v>0</v>
      </c>
      <c r="K6" s="23">
        <f>J6-I6</f>
        <v>-85.846153846153854</v>
      </c>
      <c r="L6" s="18">
        <f t="shared" ref="L6" si="0">K6/4</f>
        <v>-21.461538461538463</v>
      </c>
    </row>
    <row r="7" spans="1:12" ht="15.75" customHeight="1" x14ac:dyDescent="0.25">
      <c r="A7" s="24" t="s">
        <v>2</v>
      </c>
      <c r="B7" s="25">
        <f>SUMIF(AHL!2:2,"au",AHL!1:1)</f>
        <v>469</v>
      </c>
      <c r="C7">
        <f>SUM(AHL!AV1,AHL!BA1,AHL!L1,AHL!AF1,AHL!BF1,AHL!BG1,AHL!BH1,AHL!BE1)</f>
        <v>67</v>
      </c>
      <c r="E7" s="26" t="s">
        <v>439</v>
      </c>
      <c r="F7" s="27">
        <v>2</v>
      </c>
      <c r="G7" s="28">
        <f t="shared" ref="G7:G9" si="1">F7/13</f>
        <v>0.15384615384615385</v>
      </c>
      <c r="H7" s="29">
        <f>(B5+B4)/B3</f>
        <v>0.17473118279569894</v>
      </c>
      <c r="I7" s="30">
        <f>C2*G7</f>
        <v>171.69230769230771</v>
      </c>
      <c r="J7" s="31">
        <f>B4+B5</f>
        <v>195</v>
      </c>
      <c r="K7" s="32">
        <f>J7-I7</f>
        <v>23.307692307692292</v>
      </c>
      <c r="L7" s="33">
        <f>K7/4</f>
        <v>5.8269230769230731</v>
      </c>
    </row>
    <row r="8" spans="1:12" ht="15.75" customHeight="1" x14ac:dyDescent="0.25">
      <c r="A8" s="34" t="s">
        <v>440</v>
      </c>
      <c r="C8">
        <f>SUM(C4:C7)</f>
        <v>108</v>
      </c>
      <c r="E8" s="9" t="s">
        <v>441</v>
      </c>
      <c r="F8" s="35">
        <v>7</v>
      </c>
      <c r="G8" s="36">
        <f t="shared" si="1"/>
        <v>0.53846153846153844</v>
      </c>
      <c r="H8" s="37">
        <f>B6/B3</f>
        <v>0.4050179211469534</v>
      </c>
      <c r="I8" s="38">
        <f>C2*G8</f>
        <v>600.92307692307691</v>
      </c>
      <c r="J8">
        <f>B6</f>
        <v>452</v>
      </c>
      <c r="K8" s="39">
        <f>J8-I8</f>
        <v>-148.92307692307691</v>
      </c>
      <c r="L8" s="40">
        <f>K8/4</f>
        <v>-37.230769230769226</v>
      </c>
    </row>
    <row r="9" spans="1:12" ht="15.75" customHeight="1" x14ac:dyDescent="0.25">
      <c r="A9" t="s">
        <v>442</v>
      </c>
      <c r="B9">
        <f>SUM(B4:B7)</f>
        <v>1116</v>
      </c>
      <c r="E9" s="24" t="s">
        <v>443</v>
      </c>
      <c r="F9" s="41">
        <v>4</v>
      </c>
      <c r="G9" s="42">
        <f t="shared" si="1"/>
        <v>0.30769230769230771</v>
      </c>
      <c r="H9" s="37">
        <f>B7/B3</f>
        <v>0.42025089605734767</v>
      </c>
      <c r="I9" s="43">
        <f>C2*G9</f>
        <v>343.38461538461542</v>
      </c>
      <c r="J9" s="4">
        <f>B7</f>
        <v>469</v>
      </c>
      <c r="K9" s="44">
        <f>J9-I9</f>
        <v>125.61538461538458</v>
      </c>
      <c r="L9" s="45">
        <f>K9/4</f>
        <v>31.403846153846146</v>
      </c>
    </row>
    <row r="11" spans="1:12" x14ac:dyDescent="0.25">
      <c r="H11" s="46" t="s">
        <v>444</v>
      </c>
      <c r="I11" s="47">
        <f>SUM(I7:I9)</f>
        <v>1116</v>
      </c>
      <c r="J11" s="48">
        <f>SUM(J7:J9)</f>
        <v>1116</v>
      </c>
      <c r="K11" s="49">
        <f>SUM(K7:K9)</f>
        <v>0</v>
      </c>
      <c r="L11" s="50">
        <f>SUM(L7:L9)</f>
        <v>0</v>
      </c>
    </row>
    <row r="12" spans="1:12" x14ac:dyDescent="0.25">
      <c r="E12" t="s">
        <v>445</v>
      </c>
    </row>
    <row r="13" spans="1:12" ht="15.75" customHeight="1" x14ac:dyDescent="0.25">
      <c r="A13" t="s">
        <v>446</v>
      </c>
      <c r="B13">
        <f>C1/2/6</f>
        <v>23.25</v>
      </c>
      <c r="F13" t="s">
        <v>447</v>
      </c>
      <c r="G13" t="s">
        <v>448</v>
      </c>
      <c r="J13" s="51" t="s">
        <v>449</v>
      </c>
    </row>
    <row r="14" spans="1:12" ht="15.75" customHeight="1" x14ac:dyDescent="0.25">
      <c r="E14" t="s">
        <v>443</v>
      </c>
      <c r="F14" s="7">
        <v>11</v>
      </c>
      <c r="G14" s="52">
        <v>13</v>
      </c>
      <c r="H14" s="53">
        <f>SUM(F14:G14)</f>
        <v>24</v>
      </c>
      <c r="J14">
        <f>B7/H14</f>
        <v>19.541666666666668</v>
      </c>
    </row>
    <row r="15" spans="1:12" ht="15.75" customHeight="1" x14ac:dyDescent="0.25">
      <c r="E15" t="s">
        <v>450</v>
      </c>
      <c r="F15" s="9">
        <v>9</v>
      </c>
      <c r="G15" s="54">
        <v>12</v>
      </c>
      <c r="H15" s="53">
        <f>SUM(F15:G15)</f>
        <v>21</v>
      </c>
      <c r="J15">
        <f>B6/H15</f>
        <v>21.523809523809526</v>
      </c>
    </row>
    <row r="16" spans="1:12" ht="15.75" customHeight="1" x14ac:dyDescent="0.25">
      <c r="E16" t="s">
        <v>439</v>
      </c>
      <c r="F16" s="55">
        <v>6</v>
      </c>
      <c r="G16" s="56">
        <v>6</v>
      </c>
      <c r="H16" s="53">
        <f>SUM(F16:G16)</f>
        <v>12</v>
      </c>
      <c r="J16">
        <f>B4/H16</f>
        <v>16.25</v>
      </c>
    </row>
    <row r="17" spans="5:17" ht="15.75" customHeight="1" x14ac:dyDescent="0.25">
      <c r="E17" s="57" t="s">
        <v>451</v>
      </c>
      <c r="F17" s="53">
        <f>SUM(F14:F16)</f>
        <v>26</v>
      </c>
      <c r="G17" s="53">
        <f>SUM(G14:G16)</f>
        <v>31</v>
      </c>
      <c r="H17" s="53">
        <f>SUM(F17:G17)</f>
        <v>57</v>
      </c>
      <c r="J17">
        <f>B3/H17</f>
        <v>19.578947368421051</v>
      </c>
    </row>
    <row r="18" spans="5:17" x14ac:dyDescent="0.25">
      <c r="Q18" s="58"/>
    </row>
    <row r="19" spans="5:17" ht="15.75" customHeight="1" x14ac:dyDescent="0.25"/>
    <row r="21" spans="5:17" ht="46.5" customHeight="1" x14ac:dyDescent="0.25"/>
    <row r="22" spans="5:17" ht="15.75" customHeight="1" x14ac:dyDescent="0.25"/>
    <row r="24" spans="5:17" ht="15.75" customHeight="1" x14ac:dyDescent="0.25"/>
    <row r="25" spans="5:17" ht="16.5" customHeight="1" x14ac:dyDescent="0.25"/>
    <row r="28" spans="5:17" ht="15.75" customHeight="1" x14ac:dyDescent="0.25"/>
  </sheetData>
  <mergeCells count="3">
    <mergeCell ref="A1:B1"/>
    <mergeCell ref="A2:B2"/>
    <mergeCell ref="E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workbookViewId="0">
      <selection activeCell="B12" sqref="B12"/>
    </sheetView>
  </sheetViews>
  <sheetFormatPr defaultRowHeight="15" x14ac:dyDescent="0.25"/>
  <cols>
    <col min="1" max="1" width="102.42578125" customWidth="1"/>
  </cols>
  <sheetData>
    <row r="1" spans="1:7" x14ac:dyDescent="0.25">
      <c r="A1" s="3"/>
      <c r="D1" s="65" t="s">
        <v>452</v>
      </c>
      <c r="E1" s="65"/>
      <c r="F1" s="65"/>
      <c r="G1" s="65"/>
    </row>
    <row r="2" spans="1:7" x14ac:dyDescent="0.25">
      <c r="A2" s="59" t="s">
        <v>453</v>
      </c>
    </row>
    <row r="3" spans="1:7" x14ac:dyDescent="0.25">
      <c r="A3" s="59"/>
    </row>
    <row r="4" spans="1:7" x14ac:dyDescent="0.25">
      <c r="A4" s="59"/>
    </row>
    <row r="5" spans="1:7" x14ac:dyDescent="0.25">
      <c r="A5" s="60"/>
    </row>
    <row r="6" spans="1:7" x14ac:dyDescent="0.25">
      <c r="A6" s="60"/>
    </row>
    <row r="7" spans="1:7" x14ac:dyDescent="0.25">
      <c r="A7" s="61" t="s">
        <v>454</v>
      </c>
    </row>
  </sheetData>
  <mergeCells count="1">
    <mergeCell ref="D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813D-578C-4013-A50A-8663E035A45A}">
  <dimension ref="AH1:AJ61"/>
  <sheetViews>
    <sheetView tabSelected="1" topLeftCell="AG1" workbookViewId="0">
      <selection activeCell="AJ13" sqref="AJ13"/>
    </sheetView>
  </sheetViews>
  <sheetFormatPr defaultRowHeight="15" x14ac:dyDescent="0.25"/>
  <cols>
    <col min="35" max="35" width="15.42578125" customWidth="1"/>
    <col min="36" max="36" width="9.140625" style="67"/>
  </cols>
  <sheetData>
    <row r="1" spans="34:36" ht="14.45" customHeight="1" x14ac:dyDescent="0.25">
      <c r="AH1" s="2" t="s">
        <v>1</v>
      </c>
      <c r="AI1" t="s">
        <v>27</v>
      </c>
      <c r="AJ1" s="67">
        <v>34</v>
      </c>
    </row>
    <row r="2" spans="34:36" ht="14.45" customHeight="1" x14ac:dyDescent="0.25">
      <c r="AH2" s="3" t="s">
        <v>2</v>
      </c>
      <c r="AI2" t="s">
        <v>40</v>
      </c>
      <c r="AJ2" s="67">
        <v>34</v>
      </c>
    </row>
    <row r="3" spans="34:36" ht="15" customHeight="1" x14ac:dyDescent="0.25">
      <c r="AH3" s="3" t="s">
        <v>2</v>
      </c>
      <c r="AI3" t="s">
        <v>37</v>
      </c>
      <c r="AJ3" s="67">
        <v>30</v>
      </c>
    </row>
    <row r="4" spans="34:36" x14ac:dyDescent="0.25">
      <c r="AH4" s="3" t="s">
        <v>2</v>
      </c>
      <c r="AI4" t="s">
        <v>44</v>
      </c>
      <c r="AJ4" s="67">
        <v>30</v>
      </c>
    </row>
    <row r="5" spans="34:36" x14ac:dyDescent="0.25">
      <c r="AH5" s="3" t="s">
        <v>2</v>
      </c>
      <c r="AI5" t="s">
        <v>49</v>
      </c>
      <c r="AJ5" s="67">
        <v>30</v>
      </c>
    </row>
    <row r="6" spans="34:36" x14ac:dyDescent="0.25">
      <c r="AH6" s="3" t="s">
        <v>2</v>
      </c>
      <c r="AI6" t="s">
        <v>41</v>
      </c>
      <c r="AJ6" s="67">
        <v>29</v>
      </c>
    </row>
    <row r="7" spans="34:36" x14ac:dyDescent="0.25">
      <c r="AH7" s="2" t="s">
        <v>1</v>
      </c>
      <c r="AI7" t="s">
        <v>15</v>
      </c>
      <c r="AJ7" s="67">
        <v>28</v>
      </c>
    </row>
    <row r="8" spans="34:36" x14ac:dyDescent="0.25">
      <c r="AH8" s="2" t="s">
        <v>1</v>
      </c>
      <c r="AI8" t="s">
        <v>18</v>
      </c>
      <c r="AJ8" s="67">
        <v>27</v>
      </c>
    </row>
    <row r="9" spans="34:36" x14ac:dyDescent="0.25">
      <c r="AH9" s="3" t="s">
        <v>2</v>
      </c>
      <c r="AI9" t="s">
        <v>38</v>
      </c>
      <c r="AJ9" s="67">
        <v>27</v>
      </c>
    </row>
    <row r="10" spans="34:36" x14ac:dyDescent="0.25">
      <c r="AH10" s="3" t="s">
        <v>2</v>
      </c>
      <c r="AI10" t="s">
        <v>45</v>
      </c>
      <c r="AJ10" s="67">
        <v>27</v>
      </c>
    </row>
    <row r="11" spans="34:36" x14ac:dyDescent="0.25">
      <c r="AH11" s="3" t="s">
        <v>2</v>
      </c>
      <c r="AI11" t="s">
        <v>46</v>
      </c>
      <c r="AJ11" s="67">
        <v>27</v>
      </c>
    </row>
    <row r="12" spans="34:36" x14ac:dyDescent="0.25">
      <c r="AH12" s="2" t="s">
        <v>1</v>
      </c>
      <c r="AI12" t="s">
        <v>22</v>
      </c>
      <c r="AJ12" s="67">
        <v>26</v>
      </c>
    </row>
    <row r="13" spans="34:36" x14ac:dyDescent="0.25">
      <c r="AH13" s="2" t="s">
        <v>1</v>
      </c>
      <c r="AI13" t="s">
        <v>19</v>
      </c>
      <c r="AJ13" s="67">
        <v>25</v>
      </c>
    </row>
    <row r="14" spans="34:36" x14ac:dyDescent="0.25">
      <c r="AH14" s="2" t="s">
        <v>1</v>
      </c>
      <c r="AI14" t="s">
        <v>28</v>
      </c>
      <c r="AJ14" s="67">
        <v>25</v>
      </c>
    </row>
    <row r="15" spans="34:36" x14ac:dyDescent="0.25">
      <c r="AH15" s="2" t="s">
        <v>1</v>
      </c>
      <c r="AI15" t="s">
        <v>30</v>
      </c>
      <c r="AJ15" s="67">
        <v>25</v>
      </c>
    </row>
    <row r="16" spans="34:36" x14ac:dyDescent="0.25">
      <c r="AH16" s="2" t="s">
        <v>1</v>
      </c>
      <c r="AI16" t="s">
        <v>17</v>
      </c>
      <c r="AJ16" s="67">
        <v>24</v>
      </c>
    </row>
    <row r="17" spans="34:36" x14ac:dyDescent="0.25">
      <c r="AH17" s="2" t="s">
        <v>1</v>
      </c>
      <c r="AI17" t="s">
        <v>20</v>
      </c>
      <c r="AJ17" s="67">
        <v>24</v>
      </c>
    </row>
    <row r="18" spans="34:36" x14ac:dyDescent="0.25">
      <c r="AH18" s="2" t="s">
        <v>1</v>
      </c>
      <c r="AI18" t="s">
        <v>26</v>
      </c>
      <c r="AJ18" s="67">
        <v>24</v>
      </c>
    </row>
    <row r="19" spans="34:36" x14ac:dyDescent="0.25">
      <c r="AH19" s="2" t="s">
        <v>1</v>
      </c>
      <c r="AI19" t="s">
        <v>29</v>
      </c>
      <c r="AJ19" s="67">
        <v>24</v>
      </c>
    </row>
    <row r="20" spans="34:36" x14ac:dyDescent="0.25">
      <c r="AH20" s="3" t="s">
        <v>2</v>
      </c>
      <c r="AI20" t="s">
        <v>47</v>
      </c>
      <c r="AJ20" s="67">
        <v>24</v>
      </c>
    </row>
    <row r="21" spans="34:36" x14ac:dyDescent="0.25">
      <c r="AH21" s="1" t="s">
        <v>0</v>
      </c>
      <c r="AI21" t="s">
        <v>3</v>
      </c>
      <c r="AJ21" s="67">
        <v>23</v>
      </c>
    </row>
    <row r="22" spans="34:36" x14ac:dyDescent="0.25">
      <c r="AH22" s="2" t="s">
        <v>1</v>
      </c>
      <c r="AI22" t="s">
        <v>16</v>
      </c>
      <c r="AJ22" s="67">
        <v>23</v>
      </c>
    </row>
    <row r="23" spans="34:36" x14ac:dyDescent="0.25">
      <c r="AH23" s="2" t="s">
        <v>1</v>
      </c>
      <c r="AI23" t="s">
        <v>24</v>
      </c>
      <c r="AJ23" s="67">
        <v>23</v>
      </c>
    </row>
    <row r="24" spans="34:36" x14ac:dyDescent="0.25">
      <c r="AH24" s="1" t="s">
        <v>0</v>
      </c>
      <c r="AI24" t="s">
        <v>4</v>
      </c>
      <c r="AJ24" s="67">
        <v>22</v>
      </c>
    </row>
    <row r="25" spans="34:36" x14ac:dyDescent="0.25">
      <c r="AH25" s="1" t="s">
        <v>0</v>
      </c>
      <c r="AI25" t="s">
        <v>5</v>
      </c>
      <c r="AJ25" s="67">
        <v>22</v>
      </c>
    </row>
    <row r="26" spans="34:36" x14ac:dyDescent="0.25">
      <c r="AH26" s="2" t="s">
        <v>1</v>
      </c>
      <c r="AI26" t="s">
        <v>23</v>
      </c>
      <c r="AJ26" s="67">
        <v>22</v>
      </c>
    </row>
    <row r="27" spans="34:36" x14ac:dyDescent="0.25">
      <c r="AH27" s="2" t="s">
        <v>1</v>
      </c>
      <c r="AI27" t="s">
        <v>25</v>
      </c>
      <c r="AJ27" s="67">
        <v>22</v>
      </c>
    </row>
    <row r="28" spans="34:36" x14ac:dyDescent="0.25">
      <c r="AH28" s="2" t="s">
        <v>1</v>
      </c>
      <c r="AI28" t="s">
        <v>35</v>
      </c>
      <c r="AJ28" s="67">
        <v>22</v>
      </c>
    </row>
    <row r="29" spans="34:36" x14ac:dyDescent="0.25">
      <c r="AH29" s="3" t="s">
        <v>2</v>
      </c>
      <c r="AI29" t="s">
        <v>48</v>
      </c>
      <c r="AJ29" s="67">
        <v>22</v>
      </c>
    </row>
    <row r="30" spans="34:36" x14ac:dyDescent="0.25">
      <c r="AH30" s="3" t="s">
        <v>2</v>
      </c>
      <c r="AI30" t="s">
        <v>42</v>
      </c>
      <c r="AJ30" s="67">
        <v>21</v>
      </c>
    </row>
    <row r="31" spans="34:36" x14ac:dyDescent="0.25">
      <c r="AH31" s="3" t="s">
        <v>2</v>
      </c>
      <c r="AI31" t="s">
        <v>43</v>
      </c>
      <c r="AJ31" s="67">
        <v>21</v>
      </c>
    </row>
    <row r="32" spans="34:36" x14ac:dyDescent="0.25">
      <c r="AH32" s="3" t="s">
        <v>2</v>
      </c>
      <c r="AI32" t="s">
        <v>39</v>
      </c>
      <c r="AJ32" s="67">
        <v>20</v>
      </c>
    </row>
    <row r="33" spans="34:36" x14ac:dyDescent="0.25">
      <c r="AH33" s="1" t="s">
        <v>0</v>
      </c>
      <c r="AI33" t="s">
        <v>6</v>
      </c>
      <c r="AJ33" s="67">
        <v>19</v>
      </c>
    </row>
    <row r="34" spans="34:36" x14ac:dyDescent="0.25">
      <c r="AH34" s="1" t="s">
        <v>0</v>
      </c>
      <c r="AI34" t="s">
        <v>10</v>
      </c>
      <c r="AJ34" s="67">
        <v>19</v>
      </c>
    </row>
    <row r="35" spans="34:36" x14ac:dyDescent="0.25">
      <c r="AH35" s="1" t="s">
        <v>0</v>
      </c>
      <c r="AI35" t="s">
        <v>12</v>
      </c>
      <c r="AJ35" s="67">
        <v>19</v>
      </c>
    </row>
    <row r="36" spans="34:36" x14ac:dyDescent="0.25">
      <c r="AH36" s="3" t="s">
        <v>2</v>
      </c>
      <c r="AI36" t="s">
        <v>54</v>
      </c>
      <c r="AJ36" s="67">
        <v>19</v>
      </c>
    </row>
    <row r="37" spans="34:36" x14ac:dyDescent="0.25">
      <c r="AH37" s="1" t="s">
        <v>0</v>
      </c>
      <c r="AI37" t="s">
        <v>7</v>
      </c>
      <c r="AJ37" s="67">
        <v>18</v>
      </c>
    </row>
    <row r="38" spans="34:36" x14ac:dyDescent="0.25">
      <c r="AH38" s="1" t="s">
        <v>0</v>
      </c>
      <c r="AI38" t="s">
        <v>9</v>
      </c>
      <c r="AJ38" s="67">
        <v>18</v>
      </c>
    </row>
    <row r="39" spans="34:36" x14ac:dyDescent="0.25">
      <c r="AH39" s="2" t="s">
        <v>1</v>
      </c>
      <c r="AI39" t="s">
        <v>21</v>
      </c>
      <c r="AJ39" s="67">
        <v>17</v>
      </c>
    </row>
    <row r="40" spans="34:36" x14ac:dyDescent="0.25">
      <c r="AH40" s="3" t="s">
        <v>2</v>
      </c>
      <c r="AI40" t="s">
        <v>50</v>
      </c>
      <c r="AJ40" s="67">
        <v>16</v>
      </c>
    </row>
    <row r="41" spans="34:36" x14ac:dyDescent="0.25">
      <c r="AH41" s="1" t="s">
        <v>0</v>
      </c>
      <c r="AI41" t="s">
        <v>11</v>
      </c>
      <c r="AJ41" s="67">
        <v>15</v>
      </c>
    </row>
    <row r="42" spans="34:36" x14ac:dyDescent="0.25">
      <c r="AH42" s="2" t="s">
        <v>1</v>
      </c>
      <c r="AI42" t="s">
        <v>31</v>
      </c>
      <c r="AJ42" s="67">
        <v>14</v>
      </c>
    </row>
    <row r="43" spans="34:36" x14ac:dyDescent="0.25">
      <c r="AH43" s="3" t="s">
        <v>2</v>
      </c>
      <c r="AI43" t="s">
        <v>52</v>
      </c>
      <c r="AJ43" s="67">
        <v>15</v>
      </c>
    </row>
    <row r="44" spans="34:36" x14ac:dyDescent="0.25">
      <c r="AH44" s="2" t="s">
        <v>1</v>
      </c>
      <c r="AI44" t="s">
        <v>32</v>
      </c>
      <c r="AJ44" s="67">
        <v>14</v>
      </c>
    </row>
    <row r="45" spans="34:36" x14ac:dyDescent="0.25">
      <c r="AH45" s="3" t="s">
        <v>2</v>
      </c>
      <c r="AI45" t="s">
        <v>36</v>
      </c>
      <c r="AJ45" s="67">
        <v>14</v>
      </c>
    </row>
    <row r="46" spans="34:36" x14ac:dyDescent="0.25">
      <c r="AH46" s="3" t="s">
        <v>2</v>
      </c>
      <c r="AI46" t="s">
        <v>51</v>
      </c>
      <c r="AJ46" s="67">
        <v>14</v>
      </c>
    </row>
    <row r="47" spans="34:36" x14ac:dyDescent="0.25">
      <c r="AH47" s="3" t="s">
        <v>2</v>
      </c>
      <c r="AI47" t="s">
        <v>53</v>
      </c>
      <c r="AJ47" s="67">
        <v>14</v>
      </c>
    </row>
    <row r="48" spans="34:36" x14ac:dyDescent="0.25">
      <c r="AH48" s="1" t="s">
        <v>0</v>
      </c>
      <c r="AI48" t="s">
        <v>8</v>
      </c>
      <c r="AJ48" s="67">
        <v>10</v>
      </c>
    </row>
    <row r="49" spans="34:36" x14ac:dyDescent="0.25">
      <c r="AH49" s="3" t="s">
        <v>2</v>
      </c>
      <c r="AI49" t="s">
        <v>56</v>
      </c>
      <c r="AJ49" s="67">
        <v>10</v>
      </c>
    </row>
    <row r="50" spans="34:36" x14ac:dyDescent="0.25">
      <c r="AH50" s="3" t="s">
        <v>2</v>
      </c>
      <c r="AI50" t="s">
        <v>55</v>
      </c>
      <c r="AJ50" s="67">
        <v>8</v>
      </c>
    </row>
    <row r="51" spans="34:36" x14ac:dyDescent="0.25">
      <c r="AH51" s="1" t="s">
        <v>0</v>
      </c>
      <c r="AI51" t="s">
        <v>14</v>
      </c>
      <c r="AJ51" s="67">
        <v>7</v>
      </c>
    </row>
    <row r="52" spans="34:36" x14ac:dyDescent="0.25">
      <c r="AH52" s="3" t="s">
        <v>2</v>
      </c>
      <c r="AI52" t="s">
        <v>59</v>
      </c>
      <c r="AJ52" s="67">
        <v>7</v>
      </c>
    </row>
    <row r="53" spans="34:36" x14ac:dyDescent="0.25">
      <c r="AH53" s="2" t="s">
        <v>1</v>
      </c>
      <c r="AI53" t="s">
        <v>33</v>
      </c>
      <c r="AJ53" s="67">
        <v>5</v>
      </c>
    </row>
    <row r="54" spans="34:36" x14ac:dyDescent="0.25">
      <c r="AH54" s="2" t="s">
        <v>1</v>
      </c>
      <c r="AI54" t="s">
        <v>34</v>
      </c>
      <c r="AJ54" s="67">
        <v>4</v>
      </c>
    </row>
    <row r="55" spans="34:36" x14ac:dyDescent="0.25">
      <c r="AH55" s="1" t="s">
        <v>0</v>
      </c>
      <c r="AI55" t="s">
        <v>13</v>
      </c>
      <c r="AJ55" s="67">
        <v>3</v>
      </c>
    </row>
    <row r="56" spans="34:36" x14ac:dyDescent="0.25">
      <c r="AH56" s="3" t="s">
        <v>2</v>
      </c>
      <c r="AI56" t="s">
        <v>57</v>
      </c>
      <c r="AJ56" s="67">
        <v>3</v>
      </c>
    </row>
    <row r="57" spans="34:36" x14ac:dyDescent="0.25">
      <c r="AH57" s="3" t="s">
        <v>2</v>
      </c>
      <c r="AI57" t="s">
        <v>58</v>
      </c>
      <c r="AJ57" s="67">
        <v>3</v>
      </c>
    </row>
    <row r="58" spans="34:36" x14ac:dyDescent="0.25">
      <c r="AH58" s="3" t="s">
        <v>2</v>
      </c>
      <c r="AI58" t="s">
        <v>60</v>
      </c>
      <c r="AJ58" s="67">
        <v>1</v>
      </c>
    </row>
    <row r="59" spans="34:36" x14ac:dyDescent="0.25">
      <c r="AH59" s="3" t="s">
        <v>2</v>
      </c>
      <c r="AI59" t="s">
        <v>61</v>
      </c>
      <c r="AJ59" s="67">
        <v>1</v>
      </c>
    </row>
    <row r="60" spans="34:36" x14ac:dyDescent="0.25">
      <c r="AH60" s="3" t="s">
        <v>2</v>
      </c>
      <c r="AI60" t="s">
        <v>62</v>
      </c>
      <c r="AJ60" s="67">
        <v>1</v>
      </c>
    </row>
    <row r="61" spans="34:36" x14ac:dyDescent="0.25">
      <c r="AH61" s="3" t="s">
        <v>2</v>
      </c>
      <c r="AI61" t="s">
        <v>63</v>
      </c>
      <c r="AJ61" s="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AHL</vt:lpstr>
      <vt:lpstr>AHL_DAT</vt:lpstr>
      <vt:lpstr>AHL_DAT_STRING</vt:lpstr>
      <vt:lpstr>Stevilo tekem po drzavah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2026-02-24T10:58:04Z</dcterms:modified>
</cp:coreProperties>
</file>