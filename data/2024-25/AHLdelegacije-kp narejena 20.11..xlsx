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8AD89E60-BDCE-4E77-B591-B523F59CC635}" xr6:coauthVersionLast="47" xr6:coauthVersionMax="47" xr10:uidLastSave="{00000000-0000-0000-0000-000000000000}"/>
  <bookViews>
    <workbookView xWindow="28680" yWindow="-120" windowWidth="29040" windowHeight="17640" activeTab="3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5" l="1"/>
  <c r="S27" i="5"/>
  <c r="S26" i="5"/>
  <c r="G19" i="5"/>
  <c r="G18" i="5"/>
  <c r="G17" i="5"/>
  <c r="G9" i="5"/>
  <c r="G8" i="5"/>
  <c r="G7" i="5"/>
  <c r="G6" i="5"/>
  <c r="G5" i="5"/>
  <c r="B3" i="5"/>
  <c r="I18" i="5" s="1"/>
  <c r="C1" i="5"/>
  <c r="C2" i="5" s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B6" i="5" s="1"/>
  <c r="N1" i="1"/>
  <c r="M1" i="1"/>
  <c r="L1" i="1"/>
  <c r="K1" i="1"/>
  <c r="B5" i="5" s="1"/>
  <c r="J1" i="1"/>
  <c r="I1" i="1"/>
  <c r="H1" i="1"/>
  <c r="B4" i="5" s="1"/>
  <c r="G1" i="1"/>
  <c r="F1" i="1"/>
  <c r="E1" i="1"/>
  <c r="D1" i="1"/>
  <c r="C1" i="1"/>
  <c r="B1" i="1"/>
  <c r="A1" i="1"/>
  <c r="B7" i="5" l="1"/>
  <c r="B9" i="5" s="1"/>
  <c r="H6" i="5"/>
  <c r="J6" i="5"/>
  <c r="J17" i="5"/>
  <c r="H7" i="5"/>
  <c r="H17" i="5"/>
  <c r="J7" i="5"/>
  <c r="H8" i="5"/>
  <c r="H18" i="5"/>
  <c r="J18" i="5"/>
  <c r="K18" i="5" s="1"/>
  <c r="L18" i="5" s="1"/>
  <c r="J8" i="5"/>
  <c r="K8" i="5" s="1"/>
  <c r="L8" i="5" s="1"/>
  <c r="J9" i="5"/>
  <c r="K9" i="5" s="1"/>
  <c r="L9" i="5" s="1"/>
  <c r="J19" i="5"/>
  <c r="H9" i="5"/>
  <c r="H19" i="5"/>
  <c r="I6" i="5"/>
  <c r="I9" i="5"/>
  <c r="I7" i="5"/>
  <c r="I5" i="5"/>
  <c r="I8" i="5"/>
  <c r="H5" i="5"/>
  <c r="J5" i="5"/>
  <c r="K5" i="5" s="1"/>
  <c r="L5" i="5" s="1"/>
  <c r="I17" i="5"/>
  <c r="I19" i="5"/>
  <c r="K7" i="5" l="1"/>
  <c r="J11" i="5"/>
  <c r="K17" i="5"/>
  <c r="L17" i="5" s="1"/>
  <c r="K19" i="5"/>
  <c r="L19" i="5" s="1"/>
  <c r="I11" i="5"/>
  <c r="K6" i="5"/>
  <c r="L6" i="5" s="1"/>
  <c r="L7" i="5" l="1"/>
  <c r="L11" i="5" s="1"/>
  <c r="K11" i="5"/>
</calcChain>
</file>

<file path=xl/sharedStrings.xml><?xml version="1.0" encoding="utf-8"?>
<sst xmlns="http://schemas.openxmlformats.org/spreadsheetml/2006/main" count="1487" uniqueCount="273">
  <si>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</si>
  <si>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</si>
  <si>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</si>
  <si>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</si>
  <si>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</si>
  <si>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</si>
  <si>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</si>
  <si>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</si>
  <si>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</si>
  <si>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</si>
  <si>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</si>
  <si>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</si>
  <si>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</si>
  <si>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</si>
  <si>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</si>
  <si>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</si>
  <si>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</si>
  <si>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</si>
  <si>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</si>
  <si>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</si>
  <si>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</si>
  <si>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</si>
  <si>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</si>
  <si>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</si>
  <si>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</si>
  <si>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</si>
  <si>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</si>
  <si>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</si>
  <si>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</si>
  <si>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</si>
  <si>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</si>
  <si>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</si>
  <si>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</si>
  <si>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</si>
  <si>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</si>
  <si>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</si>
  <si>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</si>
  <si>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</si>
  <si>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</si>
  <si>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</si>
  <si>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</si>
  <si>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</si>
  <si>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</si>
  <si>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</si>
  <si>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</si>
  <si>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</si>
  <si>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</si>
  <si>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</si>
  <si>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</si>
  <si>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</si>
  <si>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</si>
  <si>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</si>
  <si>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</si>
  <si>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</si>
  <si>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</si>
  <si>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</si>
  <si>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</si>
  <si>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</si>
  <si>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</si>
  <si>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</si>
  <si>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</si>
  <si>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</si>
  <si>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</si>
  <si>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</si>
  <si>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</si>
  <si>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</si>
  <si>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</si>
  <si>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</si>
  <si>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HlavatyAl</t>
  </si>
  <si>
    <t>EislCh</t>
  </si>
  <si>
    <t>MoidlDa</t>
  </si>
  <si>
    <t>LehnerMo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</si>
  <si>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</si>
  <si>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</si>
  <si>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</si>
  <si>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</si>
  <si>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</si>
  <si>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</si>
  <si>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</si>
  <si>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</si>
  <si>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</si>
  <si>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</si>
  <si>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</si>
  <si>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</si>
  <si>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</si>
  <si>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2024-10-03</t>
  </si>
  <si>
    <t>2024-10-23</t>
  </si>
  <si>
    <t>2024-11-03</t>
  </si>
  <si>
    <t>2024-10-26</t>
  </si>
  <si>
    <t>2024-10-29</t>
  </si>
  <si>
    <t>2024-11-23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</si>
  <si>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</si>
  <si>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</si>
  <si>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</si>
  <si>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</si>
  <si>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</si>
  <si>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</si>
  <si>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</si>
  <si>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</si>
  <si>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</si>
  <si>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</si>
  <si>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2024-10-31</t>
  </si>
  <si>
    <t>2024-11-28</t>
  </si>
  <si>
    <t>2024-12-03</t>
  </si>
  <si>
    <t>2024-10-06</t>
  </si>
  <si>
    <t>2024-11-02</t>
  </si>
  <si>
    <t>2024-11-17</t>
  </si>
  <si>
    <t>2024-11-21</t>
  </si>
  <si>
    <t>2024-11-12</t>
  </si>
  <si>
    <t>2024-11-26</t>
  </si>
  <si>
    <t>2024-12-05</t>
  </si>
  <si>
    <t>2024-11-19</t>
  </si>
  <si>
    <t>2024-12-04</t>
  </si>
  <si>
    <t>2024-12-01</t>
  </si>
  <si>
    <t>2024-11-24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</si>
  <si>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</si>
  <si>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</si>
  <si>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</si>
  <si>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</si>
  <si>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</si>
  <si>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</si>
  <si>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</si>
  <si>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</si>
  <si>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</si>
  <si>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</si>
  <si>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</si>
  <si>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</si>
  <si>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</si>
  <si>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</si>
  <si>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</si>
  <si>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</si>
  <si>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</si>
  <si>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</si>
  <si>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</si>
  <si>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</si>
  <si>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</si>
  <si>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</si>
  <si>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</si>
  <si>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</si>
  <si>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</si>
  <si>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</si>
  <si>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</si>
  <si>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</si>
  <si>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</si>
  <si>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</si>
  <si>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</si>
  <si>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Eishalle Celje;HlavatyAl;WidmannFl;LegatKo;WuchererGe</t>
  </si>
  <si>
    <t>Eishalle Gröden;EggerTh;StefenelliFe;BrondiPa;GrisentiLu</t>
  </si>
  <si>
    <t>Eishalle Dornbirn;LazzeriAl;RivisFe;RinkerDa;StrimitzerDa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</si>
  <si>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</si>
  <si>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</si>
  <si>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</si>
  <si>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</si>
  <si>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</si>
  <si>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Jesenice;BrockAd;MeixnerSe;LegatKo;ZacherlPa</t>
  </si>
  <si>
    <t>Sportpark Kitzbühel;HlavatyAl;MeixnerSe;PreiserJu;ZacherlPa</t>
  </si>
  <si>
    <t>Eishalle Sterzing;MoschenAn;SoraperraSi;CusinFe;FormaioniTh</t>
  </si>
  <si>
    <t>Eishalle Celje;LesniakBo;RivisFe;ArlicMa;RivisAn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</si>
  <si>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</si>
  <si>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</si>
  <si>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</si>
  <si>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</si>
  <si>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</si>
  <si>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</si>
  <si>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</si>
  <si>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</si>
  <si>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</si>
  <si>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</si>
  <si>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</si>
  <si>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</si>
  <si>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</si>
  <si>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</si>
  <si>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</si>
  <si>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</si>
  <si>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</si>
  <si>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</si>
  <si>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Würtharena Neumarkt;GiacomozziFe;SoraperraSi;AbeltinoSi;CusinFe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</si>
  <si>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</si>
  <si>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</si>
  <si>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</si>
  <si>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Neumarkt;BajtMi;PinieOm;JavornikBl;PaceJa</t>
  </si>
  <si>
    <t>Eishalle Sissek Zibel;LebenJa;OrelSt;MarkizetiGr;TelesklavFa</t>
  </si>
  <si>
    <t>Würtharena Neumarkt;BenvegnuAn;VirtaTu;FecchioFe;PaceJa</t>
  </si>
  <si>
    <t>Eishalle Jesenice;OrelSt;VoicanCh;LegatKo;WeissAl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</si>
  <si>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</si>
  <si>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</si>
  <si>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</si>
  <si>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</si>
  <si>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</si>
  <si>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</si>
  <si>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</si>
  <si>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</si>
  <si>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</si>
  <si>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</si>
  <si>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</si>
  <si>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</si>
  <si>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</si>
  <si>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</si>
  <si>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</si>
  <si>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Celje;VoicanCh;WidmannFl;WeissAl;WuchererGe</t>
  </si>
  <si>
    <t>Eisarena Salzburg;MoschenAn;PinieOm;PreiserJu;WendnerMa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</si>
  <si>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</si>
  <si>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</si>
  <si>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</si>
  <si>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</si>
  <si>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Sissek Zibel;BulovecMi;WidmannFl;ArlicMa;WuchererGe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</si>
  <si>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</si>
  <si>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</si>
  <si>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</si>
  <si>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</si>
  <si>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</si>
  <si>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</si>
  <si>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</si>
  <si>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Celje;BulovecMi;SnojTa;ArlicMa;JeramFi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</si>
  <si>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</si>
  <si>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</si>
  <si>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</si>
  <si>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</si>
  <si>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</si>
  <si>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</si>
  <si>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</si>
  <si>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</si>
  <si>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Meran;LesniakBo;OrelSt;MarkizetiGr;TelesklavFa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</si>
  <si>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</si>
  <si>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</si>
  <si>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</si>
  <si>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</si>
  <si>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Meran;KainbergerJu;LehnerMo;EislCh;FleischmannLu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</si>
  <si>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</si>
  <si>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</si>
  <si>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</si>
  <si>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</si>
  <si>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</si>
  <si>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</si>
  <si>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</si>
  <si>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</si>
  <si>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</si>
  <si>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</si>
  <si>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</si>
  <si>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Salzburg;Huber rRe;LehnerMo;EislCh;StrimitzerDa</t>
  </si>
  <si>
    <t>Eishalle Dornbirn;HolzerTo;KainbergerJu;DivisDo;SeewaldJe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</si>
  <si>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</si>
  <si>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</si>
  <si>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</si>
  <si>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Gröden;GiacomozziFe;MoidlDa;MattheyPh;MoidlMa</t>
  </si>
  <si>
    <t>Eishalle Celje;LebenJa;OrelSt;MarkizetiGr;PuffWo</t>
  </si>
  <si>
    <t>Würtharena Neumarkt;LegaSi;RuetzMa;BrondiPa;GrisentiLu</t>
  </si>
  <si>
    <t>Eishalle Dornbirn;HolzerTo;SpiegelSe;MattheyPh;MoidlMa</t>
  </si>
  <si>
    <t>KELIT Arena Zell am See;LehnerMo;MoidlDa;MattheyPh;MoidlMa</t>
  </si>
  <si>
    <t>Eishalle Gröden;PirasAn;SoraperraSi;FormaioniTh;ScalzeriAl</t>
  </si>
  <si>
    <t>Eishalle Cortina;LebenJa;PirasAn;GrisentiLu;JavornikBl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</si>
  <si>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</si>
  <si>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</si>
  <si>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</si>
  <si>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</si>
  <si>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</si>
  <si>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</si>
  <si>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</si>
  <si>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</si>
  <si>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</si>
  <si>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</si>
  <si>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</si>
  <si>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</si>
  <si>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</si>
  <si>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</si>
  <si>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kotrola</t>
  </si>
  <si>
    <t>Aut</t>
  </si>
  <si>
    <t>kontrola</t>
  </si>
  <si>
    <t>till 7.12.2024</t>
  </si>
  <si>
    <t>% games per team</t>
  </si>
  <si>
    <t>Data untill 7.12.2024</t>
  </si>
  <si>
    <t>Expected assignmnets per country based on team %</t>
  </si>
  <si>
    <t>Actual assigned games per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</si>
</sst>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7" borderId="13" xfId="0" applyFill="1" applyBorder="1"/>
    <xf numFmtId="0" fontId="0" fillId="7" borderId="13" xfId="0" applyFill="1" applyBorder="1" applyAlignment="1">
      <alignment horizontal="center"/>
    </xf>
    <xf numFmtId="10" fontId="0" fillId="7" borderId="14" xfId="0" applyNumberFormat="1" applyFill="1" applyBorder="1" applyAlignment="1">
      <alignment horizontal="center"/>
    </xf>
    <xf numFmtId="10" fontId="0" fillId="7" borderId="4" xfId="0" applyNumberFormat="1" applyFill="1" applyBorder="1"/>
    <xf numFmtId="1" fontId="0" fillId="8" borderId="13" xfId="0" applyNumberFormat="1" applyFill="1" applyBorder="1"/>
    <xf numFmtId="1" fontId="2" fillId="9" borderId="13" xfId="0" applyNumberFormat="1" applyFont="1" applyFill="1" applyBorder="1"/>
    <xf numFmtId="2" fontId="0" fillId="0" borderId="0" xfId="0" applyNumberFormat="1"/>
    <xf numFmtId="0" fontId="0" fillId="0" borderId="15" xfId="0" applyBorder="1"/>
    <xf numFmtId="0" fontId="0" fillId="0" borderId="16" xfId="0" applyBorder="1"/>
    <xf numFmtId="0" fontId="0" fillId="10" borderId="13" xfId="0" applyFill="1" applyBorder="1"/>
    <xf numFmtId="0" fontId="0" fillId="10" borderId="13" xfId="0" applyFill="1" applyBorder="1" applyAlignment="1">
      <alignment horizontal="center"/>
    </xf>
    <xf numFmtId="10" fontId="0" fillId="10" borderId="14" xfId="0" applyNumberFormat="1" applyFill="1" applyBorder="1" applyAlignment="1">
      <alignment horizontal="center"/>
    </xf>
    <xf numFmtId="10" fontId="0" fillId="10" borderId="17" xfId="0" applyNumberFormat="1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8" xfId="0" applyNumberFormat="1" applyBorder="1"/>
    <xf numFmtId="1" fontId="3" fillId="11" borderId="13" xfId="0" applyNumberFormat="1" applyFont="1" applyFill="1" applyBorder="1"/>
    <xf numFmtId="0" fontId="0" fillId="0" borderId="14" xfId="0" applyBorder="1" applyAlignment="1">
      <alignment horizontal="right"/>
    </xf>
    <xf numFmtId="2" fontId="0" fillId="0" borderId="19" xfId="0" applyNumberFormat="1" applyBorder="1"/>
    <xf numFmtId="1" fontId="0" fillId="0" borderId="19" xfId="0" applyNumberFormat="1" applyBorder="1"/>
    <xf numFmtId="2" fontId="0" fillId="0" borderId="13" xfId="0" applyNumberFormat="1" applyBorder="1"/>
    <xf numFmtId="0" fontId="4" fillId="0" borderId="0" xfId="0" applyFont="1"/>
    <xf numFmtId="0" fontId="0" fillId="10" borderId="9" xfId="0" applyFill="1" applyBorder="1"/>
    <xf numFmtId="0" fontId="0" fillId="10" borderId="20" xfId="0" applyFill="1" applyBorder="1" applyAlignment="1">
      <alignment horizontal="center"/>
    </xf>
    <xf numFmtId="10" fontId="0" fillId="10" borderId="20" xfId="0" applyNumberFormat="1" applyFill="1" applyBorder="1" applyAlignment="1">
      <alignment horizontal="center"/>
    </xf>
    <xf numFmtId="10" fontId="0" fillId="10" borderId="20" xfId="0" applyNumberFormat="1" applyFill="1" applyBorder="1"/>
    <xf numFmtId="1" fontId="4" fillId="10" borderId="20" xfId="0" applyNumberFormat="1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1" fontId="2" fillId="9" borderId="10" xfId="0" applyNumberFormat="1" applyFont="1" applyFill="1" applyBorder="1" applyAlignment="1">
      <alignment horizontal="center"/>
    </xf>
    <xf numFmtId="0" fontId="0" fillId="4" borderId="11" xfId="0" applyFill="1" applyBorder="1"/>
    <xf numFmtId="0" fontId="0" fillId="4" borderId="13" xfId="0" applyFill="1" applyBorder="1" applyAlignment="1">
      <alignment horizontal="center"/>
    </xf>
    <xf numFmtId="10" fontId="0" fillId="4" borderId="13" xfId="0" applyNumberFormat="1" applyFill="1" applyBorder="1" applyAlignment="1">
      <alignment horizontal="center"/>
    </xf>
    <xf numFmtId="10" fontId="0" fillId="4" borderId="13" xfId="0" applyNumberFormat="1" applyFill="1" applyBorder="1"/>
    <xf numFmtId="1" fontId="4" fillId="4" borderId="13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" fontId="2" fillId="9" borderId="1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2" borderId="15" xfId="0" applyFill="1" applyBorder="1"/>
    <xf numFmtId="0" fontId="0" fillId="12" borderId="21" xfId="0" applyFill="1" applyBorder="1" applyAlignment="1">
      <alignment horizontal="center"/>
    </xf>
    <xf numFmtId="10" fontId="0" fillId="12" borderId="21" xfId="0" applyNumberFormat="1" applyFill="1" applyBorder="1" applyAlignment="1">
      <alignment horizontal="center"/>
    </xf>
    <xf numFmtId="10" fontId="0" fillId="12" borderId="21" xfId="0" applyNumberFormat="1" applyFill="1" applyBorder="1"/>
    <xf numFmtId="1" fontId="4" fillId="12" borderId="21" xfId="0" applyNumberFormat="1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1" fontId="3" fillId="11" borderId="16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18" xfId="0" applyBorder="1"/>
    <xf numFmtId="0" fontId="0" fillId="0" borderId="2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3"/>
  <sheetViews>
    <sheetView topLeftCell="O1" zoomScaleNormal="100" workbookViewId="0">
      <selection activeCell="AB19" sqref="AB19"/>
    </sheetView>
  </sheetViews>
  <sheetFormatPr defaultRowHeight="14.45" customHeight="1" x14ac:dyDescent="0.25"/>
  <cols>
    <col min="1" max="1" width="14.42578125" customWidth="1"/>
    <col min="2" max="2" width="12.85546875" customWidth="1"/>
    <col min="3" max="3" width="13.28515625" customWidth="1"/>
    <col min="4" max="4" width="11" customWidth="1"/>
    <col min="5" max="5" width="11.140625" customWidth="1"/>
    <col min="6" max="6" width="11" customWidth="1"/>
    <col min="7" max="7" width="11.7109375" customWidth="1"/>
    <col min="8" max="8" width="10.5703125" customWidth="1"/>
    <col min="9" max="9" width="12.140625" customWidth="1"/>
    <col min="10" max="10" width="13.42578125" customWidth="1"/>
    <col min="11" max="11" width="10.28515625" customWidth="1"/>
    <col min="12" max="12" width="13.5703125" customWidth="1"/>
    <col min="13" max="13" width="10.140625" customWidth="1"/>
    <col min="14" max="14" width="13" customWidth="1"/>
    <col min="15" max="15" width="12.5703125" customWidth="1"/>
    <col min="16" max="16" width="11.140625" customWidth="1"/>
    <col min="17" max="17" width="13.28515625" customWidth="1"/>
    <col min="18" max="18" width="10.7109375" customWidth="1"/>
    <col min="19" max="19" width="14.140625" customWidth="1"/>
    <col min="20" max="20" width="16.85546875" customWidth="1"/>
    <col min="21" max="21" width="11.7109375" customWidth="1"/>
    <col min="22" max="22" width="10.7109375" customWidth="1"/>
    <col min="23" max="23" width="11.85546875" customWidth="1"/>
    <col min="24" max="24" width="17.28515625" customWidth="1"/>
    <col min="25" max="25" width="11.7109375" customWidth="1"/>
    <col min="26" max="26" width="10.28515625" customWidth="1"/>
    <col min="27" max="27" width="14.5703125" customWidth="1"/>
    <col min="28" max="28" width="10.42578125" customWidth="1"/>
    <col min="29" max="29" width="11.28515625" customWidth="1"/>
    <col min="30" max="30" width="15.140625" customWidth="1"/>
    <col min="31" max="31" width="11.42578125" customWidth="1"/>
    <col min="32" max="32" width="13.28515625" customWidth="1"/>
    <col min="33" max="33" width="10.5703125" customWidth="1"/>
    <col min="35" max="35" width="12.5703125" customWidth="1"/>
    <col min="36" max="36" width="14.5703125" customWidth="1"/>
    <col min="37" max="37" width="11.85546875" customWidth="1"/>
    <col min="38" max="38" width="10.85546875" customWidth="1"/>
    <col min="39" max="39" width="10.42578125" customWidth="1"/>
    <col min="40" max="40" width="13.42578125" customWidth="1"/>
    <col min="41" max="41" width="10.28515625" customWidth="1"/>
    <col min="42" max="42" width="12.42578125" customWidth="1"/>
    <col min="43" max="43" width="11.28515625" customWidth="1"/>
    <col min="44" max="44" width="12.5703125" customWidth="1"/>
    <col min="45" max="45" width="11.42578125" customWidth="1"/>
    <col min="46" max="46" width="11.7109375" customWidth="1"/>
    <col min="47" max="47" width="14.42578125" customWidth="1"/>
    <col min="48" max="48" width="12.5703125" customWidth="1"/>
    <col min="49" max="49" width="11.85546875" customWidth="1"/>
    <col min="50" max="50" width="11.42578125" customWidth="1"/>
    <col min="51" max="51" width="11.28515625" customWidth="1"/>
    <col min="52" max="52" width="11.140625" customWidth="1"/>
    <col min="53" max="53" width="11" customWidth="1"/>
    <col min="54" max="54" width="13.28515625" customWidth="1"/>
    <col min="55" max="55" width="18.140625" customWidth="1"/>
    <col min="56" max="56" width="10.7109375" customWidth="1"/>
    <col min="57" max="57" width="10.140625" customWidth="1"/>
    <col min="58" max="58" width="11.7109375" customWidth="1"/>
    <col min="59" max="59" width="14.28515625" customWidth="1"/>
    <col min="60" max="60" width="11.7109375" customWidth="1"/>
    <col min="61" max="61" width="11.42578125" customWidth="1"/>
    <col min="62" max="62" width="11" customWidth="1"/>
    <col min="63" max="63" width="11.85546875" customWidth="1"/>
    <col min="64" max="64" width="15.5703125" customWidth="1"/>
    <col min="65" max="65" width="12" customWidth="1"/>
    <col min="66" max="66" width="11.85546875" customWidth="1"/>
    <col min="67" max="67" width="11.28515625" customWidth="1"/>
    <col min="69" max="69" width="11.140625" customWidth="1"/>
    <col min="73" max="73" width="13.5703125" customWidth="1"/>
  </cols>
  <sheetData>
    <row r="1" spans="1:68" ht="14.45" customHeight="1" x14ac:dyDescent="0.25">
      <c r="A1">
        <f>COUNTIF(A4:A69,"&lt;&gt;")</f>
        <v>9</v>
      </c>
      <c r="B1">
        <f>COUNTIF(B4:B68,"&lt;&gt;")</f>
        <v>8</v>
      </c>
      <c r="C1">
        <f t="shared" ref="C1:BF1" si="0">COUNTIF(C4:C70,"&lt;&gt;")</f>
        <v>9</v>
      </c>
      <c r="D1">
        <f>COUNTIF(D4:D68,"&lt;&gt;")</f>
        <v>10</v>
      </c>
      <c r="E1">
        <f>COUNTIF(E4:E68,"&lt;&gt;")</f>
        <v>11</v>
      </c>
      <c r="F1">
        <f>COUNTIF(F4:F69,"&lt;&gt;")</f>
        <v>8</v>
      </c>
      <c r="G1">
        <f>COUNTIF(G4:G68,"&lt;&gt;")</f>
        <v>4</v>
      </c>
      <c r="H1">
        <f>COUNTIF(H4:H68,"&lt;&gt;")</f>
        <v>8</v>
      </c>
      <c r="I1">
        <f>COUNTIF(I4:I69,"&lt;&gt;")</f>
        <v>7</v>
      </c>
      <c r="J1">
        <f>COUNTIF(J4:J68,"&lt;&gt;")</f>
        <v>5</v>
      </c>
      <c r="K1">
        <f>COUNTIF(K4:K70,"&lt;&gt;")</f>
        <v>9</v>
      </c>
      <c r="L1">
        <f>COUNTIF(L4:L69,"&lt;&gt;")</f>
        <v>8</v>
      </c>
      <c r="M1">
        <f>COUNTIF(M4:M70,"&lt;&gt;")</f>
        <v>1</v>
      </c>
      <c r="N1">
        <f>COUNTIF(N4:N69,"&lt;&gt;")</f>
        <v>9</v>
      </c>
      <c r="O1">
        <f>COUNTIF(O4:O68,"&lt;&gt;")</f>
        <v>11</v>
      </c>
      <c r="P1">
        <f t="shared" si="0"/>
        <v>10</v>
      </c>
      <c r="Q1">
        <f>COUNTIF(Q4:Q68,"&lt;&gt;")</f>
        <v>12</v>
      </c>
      <c r="R1">
        <f>COUNTIF(R4:R67,"&lt;&gt;")</f>
        <v>12</v>
      </c>
      <c r="S1">
        <f>COUNTIF(S4:S69,"&lt;&gt;")</f>
        <v>12</v>
      </c>
      <c r="T1">
        <f>COUNTIF(T4:T68,"&lt;&gt;")</f>
        <v>10</v>
      </c>
      <c r="U1">
        <f t="shared" si="0"/>
        <v>12</v>
      </c>
      <c r="V1">
        <f>COUNTIF(V4:V67,"&lt;&gt;")</f>
        <v>9</v>
      </c>
      <c r="W1">
        <f>COUNTIF(W4:W69,"&lt;&gt;")</f>
        <v>12</v>
      </c>
      <c r="X1">
        <f>COUNTIF(X4:X68,"&lt;&gt;")</f>
        <v>2</v>
      </c>
      <c r="Y1">
        <f>COUNTIF(Y4:Y67,"&lt;&gt;")</f>
        <v>9</v>
      </c>
      <c r="Z1">
        <f t="shared" si="0"/>
        <v>11</v>
      </c>
      <c r="AA1">
        <f>COUNTIF(AA4:AA66,"&lt;&gt;")</f>
        <v>9</v>
      </c>
      <c r="AB1">
        <f>COUNTIF(AB4:AB68,"&lt;&gt;")</f>
        <v>7</v>
      </c>
      <c r="AC1">
        <f>COUNTIF(AC4:AC69,"&lt;&gt;")</f>
        <v>8</v>
      </c>
      <c r="AD1">
        <f>COUNTIF(AD4:AD69,"&lt;&gt;")</f>
        <v>9</v>
      </c>
      <c r="AE1">
        <f>COUNTIF(AE4:AE68,"&lt;&gt;")</f>
        <v>9</v>
      </c>
      <c r="AF1">
        <f>COUNTIF(AF4:AF65,"&lt;&gt;")</f>
        <v>8</v>
      </c>
      <c r="AG1">
        <f>COUNTIF(AG4:AG69,"&lt;&gt;")</f>
        <v>9</v>
      </c>
      <c r="AH1">
        <f>COUNTIF(AH4:AH68,"&lt;&gt;")</f>
        <v>8</v>
      </c>
      <c r="AI1">
        <f>COUNTIF(AI4:AI69,"&lt;&gt;")</f>
        <v>3</v>
      </c>
      <c r="AJ1">
        <f>COUNTIF(AJ4:AJ65,"&lt;&gt;")</f>
        <v>6</v>
      </c>
      <c r="AK1">
        <f>COUNTIF(AK4:AK66,"&lt;&gt;")</f>
        <v>9</v>
      </c>
      <c r="AL1">
        <f>COUNTIF(AL4:AL68,"&lt;&gt;")</f>
        <v>8</v>
      </c>
      <c r="AM1">
        <f>COUNTIF(AM4:AM67,"&lt;&gt;")</f>
        <v>10</v>
      </c>
      <c r="AN1">
        <f>COUNTIF(AN4:AN66,"&lt;&gt;")</f>
        <v>11</v>
      </c>
      <c r="AO1">
        <f>COUNTIF(AO4:AO69,"&lt;&gt;")</f>
        <v>8</v>
      </c>
      <c r="AP1">
        <f>COUNTIF(AP4:AP68,"&lt;&gt;")</f>
        <v>9</v>
      </c>
      <c r="AQ1">
        <f>COUNTIF(AQ4:AQ68,"&lt;&gt;")</f>
        <v>9</v>
      </c>
      <c r="AR1">
        <f>COUNTIF(AR4:AR64,"&lt;&gt;")</f>
        <v>11</v>
      </c>
      <c r="AS1">
        <f>COUNTIF(AS4:AS69,"&lt;&gt;")</f>
        <v>8</v>
      </c>
      <c r="AT1">
        <f>COUNTIF(AT4:AT67,"&lt;&gt;")</f>
        <v>12</v>
      </c>
      <c r="AU1">
        <f t="shared" si="0"/>
        <v>8</v>
      </c>
      <c r="AV1">
        <f>COUNTIF(AV4:AV67,"&lt;&gt;")</f>
        <v>10</v>
      </c>
      <c r="AW1">
        <f>COUNTIF(AW4:AW67,"&lt;&gt;")</f>
        <v>9</v>
      </c>
      <c r="AX1">
        <f>COUNTIF(AX4:AX67,"&lt;&gt;")</f>
        <v>10</v>
      </c>
      <c r="AY1">
        <f>COUNTIF(AY4:AY68,"&lt;&gt;")</f>
        <v>10</v>
      </c>
      <c r="AZ1">
        <f>COUNTIF(AZ4:AZ66,"&lt;&gt;")</f>
        <v>11</v>
      </c>
      <c r="BA1">
        <f t="shared" si="0"/>
        <v>10</v>
      </c>
      <c r="BB1">
        <f>COUNTIF(BB4:BB69,"&lt;&gt;")</f>
        <v>11</v>
      </c>
      <c r="BC1">
        <f>COUNTIF(BC4:BC68,"&lt;&gt;")</f>
        <v>8</v>
      </c>
      <c r="BD1">
        <f t="shared" si="0"/>
        <v>8</v>
      </c>
      <c r="BE1">
        <f>COUNTIF(BE4:BE68,"&lt;&gt;")</f>
        <v>5</v>
      </c>
      <c r="BF1">
        <f t="shared" si="0"/>
        <v>6</v>
      </c>
      <c r="BG1">
        <f>COUNTIF(BG4:BG68,"&lt;&gt;")</f>
        <v>4</v>
      </c>
      <c r="BH1">
        <f t="shared" ref="BH1:BP1" si="1">COUNTIF(BH4:BH70,"&lt;&gt;")</f>
        <v>4</v>
      </c>
      <c r="BI1">
        <f t="shared" si="1"/>
        <v>1</v>
      </c>
      <c r="BJ1">
        <f t="shared" ref="BJ1" si="2">COUNTIF(BJ4:BJ69,"&lt;&gt;")</f>
        <v>5</v>
      </c>
      <c r="BK1">
        <f>COUNTIF(BK4:BK66,"&lt;&gt;")</f>
        <v>7</v>
      </c>
      <c r="BL1">
        <f t="shared" si="1"/>
        <v>1</v>
      </c>
      <c r="BM1">
        <f t="shared" ref="BM1" si="3">COUNTIF(BM4:BM69,"&lt;&gt;")</f>
        <v>5</v>
      </c>
      <c r="BN1">
        <f>COUNTIF(BN4:BN68,"&lt;&gt;")</f>
        <v>5</v>
      </c>
      <c r="BO1">
        <f t="shared" si="1"/>
        <v>4</v>
      </c>
      <c r="BP1">
        <f t="shared" si="1"/>
        <v>3</v>
      </c>
    </row>
    <row r="2" spans="1:68" ht="14.45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 t="s">
        <v>1</v>
      </c>
      <c r="L2" s="2" t="s">
        <v>1</v>
      </c>
      <c r="M2" s="2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</row>
    <row r="3" spans="1:68" ht="15" customHeight="1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s="6" t="s">
        <v>71</v>
      </c>
    </row>
    <row r="4" spans="1:68" ht="15" customHeight="1" x14ac:dyDescent="0.25">
      <c r="A4" t="s">
        <v>72</v>
      </c>
      <c r="B4" t="s">
        <v>73</v>
      </c>
      <c r="C4" t="s">
        <v>73</v>
      </c>
      <c r="D4" t="s">
        <v>73</v>
      </c>
      <c r="E4" t="s">
        <v>73</v>
      </c>
      <c r="F4" t="s">
        <v>74</v>
      </c>
      <c r="G4" t="s">
        <v>74</v>
      </c>
      <c r="H4" t="s">
        <v>75</v>
      </c>
      <c r="I4" t="s">
        <v>75</v>
      </c>
      <c r="J4" t="s">
        <v>76</v>
      </c>
      <c r="K4" t="s">
        <v>77</v>
      </c>
      <c r="L4" t="s">
        <v>75</v>
      </c>
      <c r="M4" t="s">
        <v>78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77</v>
      </c>
      <c r="AA4" t="s">
        <v>77</v>
      </c>
      <c r="AB4" t="s">
        <v>74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76</v>
      </c>
      <c r="AI4" t="s">
        <v>79</v>
      </c>
      <c r="AJ4" t="s">
        <v>80</v>
      </c>
      <c r="AK4" t="s">
        <v>81</v>
      </c>
      <c r="AL4" t="s">
        <v>82</v>
      </c>
      <c r="AM4" t="s">
        <v>75</v>
      </c>
      <c r="AN4" t="s">
        <v>83</v>
      </c>
      <c r="AO4" t="s">
        <v>73</v>
      </c>
      <c r="AP4" t="s">
        <v>72</v>
      </c>
      <c r="AQ4" t="s">
        <v>84</v>
      </c>
      <c r="AR4" t="s">
        <v>72</v>
      </c>
      <c r="AS4" t="s">
        <v>72</v>
      </c>
      <c r="AT4" t="s">
        <v>72</v>
      </c>
      <c r="AU4" t="s">
        <v>82</v>
      </c>
      <c r="AV4" t="s">
        <v>82</v>
      </c>
      <c r="AW4" t="s">
        <v>82</v>
      </c>
      <c r="AX4" t="s">
        <v>75</v>
      </c>
      <c r="AY4" t="s">
        <v>74</v>
      </c>
      <c r="AZ4" t="s">
        <v>73</v>
      </c>
      <c r="BA4" t="s">
        <v>73</v>
      </c>
      <c r="BB4" t="s">
        <v>73</v>
      </c>
      <c r="BC4" t="s">
        <v>75</v>
      </c>
      <c r="BD4" t="s">
        <v>85</v>
      </c>
      <c r="BE4" t="s">
        <v>85</v>
      </c>
      <c r="BF4" t="s">
        <v>83</v>
      </c>
      <c r="BG4" t="s">
        <v>74</v>
      </c>
      <c r="BH4" t="s">
        <v>79</v>
      </c>
      <c r="BI4" t="s">
        <v>75</v>
      </c>
      <c r="BJ4" t="s">
        <v>86</v>
      </c>
      <c r="BK4" t="s">
        <v>87</v>
      </c>
      <c r="BL4" t="s">
        <v>88</v>
      </c>
      <c r="BM4" t="s">
        <v>88</v>
      </c>
      <c r="BN4" t="s">
        <v>89</v>
      </c>
      <c r="BO4" t="s">
        <v>76</v>
      </c>
      <c r="BP4" t="s">
        <v>90</v>
      </c>
    </row>
    <row r="5" spans="1:68" ht="15" customHeight="1" x14ac:dyDescent="0.25">
      <c r="A5" t="s">
        <v>75</v>
      </c>
      <c r="B5" t="s">
        <v>74</v>
      </c>
      <c r="C5" t="s">
        <v>85</v>
      </c>
      <c r="D5" t="s">
        <v>85</v>
      </c>
      <c r="E5" t="s">
        <v>72</v>
      </c>
      <c r="F5" t="s">
        <v>79</v>
      </c>
      <c r="G5" t="s">
        <v>83</v>
      </c>
      <c r="H5" t="s">
        <v>74</v>
      </c>
      <c r="I5" t="s">
        <v>83</v>
      </c>
      <c r="J5" s="6" t="s">
        <v>91</v>
      </c>
      <c r="K5" t="s">
        <v>75</v>
      </c>
      <c r="L5" t="s">
        <v>79</v>
      </c>
      <c r="M5" s="7"/>
      <c r="N5" t="s">
        <v>74</v>
      </c>
      <c r="O5" t="s">
        <v>75</v>
      </c>
      <c r="P5" t="s">
        <v>73</v>
      </c>
      <c r="Q5" t="s">
        <v>74</v>
      </c>
      <c r="R5" t="s">
        <v>74</v>
      </c>
      <c r="S5" t="s">
        <v>73</v>
      </c>
      <c r="T5" t="s">
        <v>73</v>
      </c>
      <c r="U5" t="s">
        <v>74</v>
      </c>
      <c r="V5" t="s">
        <v>74</v>
      </c>
      <c r="W5" t="s">
        <v>75</v>
      </c>
      <c r="X5" t="s">
        <v>92</v>
      </c>
      <c r="Y5" t="s">
        <v>75</v>
      </c>
      <c r="Z5" t="s">
        <v>75</v>
      </c>
      <c r="AA5" t="s">
        <v>85</v>
      </c>
      <c r="AB5" t="s">
        <v>79</v>
      </c>
      <c r="AC5" t="s">
        <v>77</v>
      </c>
      <c r="AD5" t="s">
        <v>85</v>
      </c>
      <c r="AE5" t="s">
        <v>85</v>
      </c>
      <c r="AF5" t="s">
        <v>85</v>
      </c>
      <c r="AG5" t="s">
        <v>85</v>
      </c>
      <c r="AH5" t="s">
        <v>91</v>
      </c>
      <c r="AI5" s="8" t="s">
        <v>93</v>
      </c>
      <c r="AJ5" t="s">
        <v>90</v>
      </c>
      <c r="AK5" t="s">
        <v>89</v>
      </c>
      <c r="AL5" t="s">
        <v>83</v>
      </c>
      <c r="AM5" t="s">
        <v>83</v>
      </c>
      <c r="AN5" t="s">
        <v>72</v>
      </c>
      <c r="AO5" t="s">
        <v>85</v>
      </c>
      <c r="AP5" t="s">
        <v>85</v>
      </c>
      <c r="AQ5" t="s">
        <v>83</v>
      </c>
      <c r="AR5" t="s">
        <v>94</v>
      </c>
      <c r="AS5" t="s">
        <v>74</v>
      </c>
      <c r="AT5" t="s">
        <v>85</v>
      </c>
      <c r="AU5" t="s">
        <v>84</v>
      </c>
      <c r="AV5" t="s">
        <v>84</v>
      </c>
      <c r="AW5" t="s">
        <v>84</v>
      </c>
      <c r="AX5" t="s">
        <v>95</v>
      </c>
      <c r="AY5" t="s">
        <v>75</v>
      </c>
      <c r="AZ5" t="s">
        <v>75</v>
      </c>
      <c r="BA5" t="s">
        <v>75</v>
      </c>
      <c r="BB5" t="s">
        <v>85</v>
      </c>
      <c r="BC5" t="s">
        <v>96</v>
      </c>
      <c r="BD5" t="s">
        <v>97</v>
      </c>
      <c r="BE5" t="s">
        <v>87</v>
      </c>
      <c r="BF5" t="s">
        <v>76</v>
      </c>
      <c r="BG5" s="8" t="s">
        <v>98</v>
      </c>
      <c r="BH5" t="s">
        <v>99</v>
      </c>
      <c r="BI5" s="7"/>
      <c r="BJ5" t="s">
        <v>87</v>
      </c>
      <c r="BK5" t="s">
        <v>97</v>
      </c>
      <c r="BL5" s="7"/>
      <c r="BM5" t="s">
        <v>89</v>
      </c>
      <c r="BN5" s="8" t="s">
        <v>90</v>
      </c>
      <c r="BO5" t="s">
        <v>91</v>
      </c>
      <c r="BP5" t="s">
        <v>100</v>
      </c>
    </row>
    <row r="6" spans="1:68" ht="15" customHeight="1" x14ac:dyDescent="0.25">
      <c r="A6" t="s">
        <v>83</v>
      </c>
      <c r="B6" t="s">
        <v>79</v>
      </c>
      <c r="C6" t="s">
        <v>83</v>
      </c>
      <c r="D6" t="s">
        <v>74</v>
      </c>
      <c r="E6" t="s">
        <v>74</v>
      </c>
      <c r="F6" t="s">
        <v>75</v>
      </c>
      <c r="G6" t="s">
        <v>76</v>
      </c>
      <c r="H6" t="s">
        <v>79</v>
      </c>
      <c r="I6" t="s">
        <v>96</v>
      </c>
      <c r="J6" t="s">
        <v>90</v>
      </c>
      <c r="K6" t="s">
        <v>79</v>
      </c>
      <c r="L6" t="s">
        <v>88</v>
      </c>
      <c r="N6" t="s">
        <v>73</v>
      </c>
      <c r="O6" t="s">
        <v>85</v>
      </c>
      <c r="P6" t="s">
        <v>83</v>
      </c>
      <c r="Q6" t="s">
        <v>73</v>
      </c>
      <c r="R6" t="s">
        <v>73</v>
      </c>
      <c r="S6" t="s">
        <v>85</v>
      </c>
      <c r="T6" t="s">
        <v>85</v>
      </c>
      <c r="U6" t="s">
        <v>75</v>
      </c>
      <c r="V6" t="s">
        <v>75</v>
      </c>
      <c r="W6" t="s">
        <v>85</v>
      </c>
      <c r="X6" s="7"/>
      <c r="Y6" t="s">
        <v>85</v>
      </c>
      <c r="Z6" t="s">
        <v>95</v>
      </c>
      <c r="AA6" t="s">
        <v>94</v>
      </c>
      <c r="AB6" t="s">
        <v>101</v>
      </c>
      <c r="AC6" t="s">
        <v>79</v>
      </c>
      <c r="AD6" t="s">
        <v>83</v>
      </c>
      <c r="AE6" t="s">
        <v>79</v>
      </c>
      <c r="AF6" t="s">
        <v>83</v>
      </c>
      <c r="AG6" t="s">
        <v>83</v>
      </c>
      <c r="AH6" s="6" t="s">
        <v>101</v>
      </c>
      <c r="AI6" t="s">
        <v>102</v>
      </c>
      <c r="AJ6" t="s">
        <v>103</v>
      </c>
      <c r="AK6" t="s">
        <v>78</v>
      </c>
      <c r="AL6" t="s">
        <v>96</v>
      </c>
      <c r="AM6" t="s">
        <v>73</v>
      </c>
      <c r="AN6" t="s">
        <v>104</v>
      </c>
      <c r="AO6" t="s">
        <v>78</v>
      </c>
      <c r="AP6" t="s">
        <v>97</v>
      </c>
      <c r="AQ6" t="s">
        <v>73</v>
      </c>
      <c r="AR6" t="s">
        <v>104</v>
      </c>
      <c r="AS6" t="s">
        <v>75</v>
      </c>
      <c r="AT6" t="s">
        <v>95</v>
      </c>
      <c r="AU6" t="s">
        <v>83</v>
      </c>
      <c r="AV6" t="s">
        <v>83</v>
      </c>
      <c r="AW6" t="s">
        <v>79</v>
      </c>
      <c r="AX6" t="s">
        <v>96</v>
      </c>
      <c r="AY6" t="s">
        <v>72</v>
      </c>
      <c r="AZ6" t="s">
        <v>85</v>
      </c>
      <c r="BA6" t="s">
        <v>85</v>
      </c>
      <c r="BB6" t="s">
        <v>79</v>
      </c>
      <c r="BC6" t="s">
        <v>74</v>
      </c>
      <c r="BD6" t="s">
        <v>96</v>
      </c>
      <c r="BE6" s="8" t="s">
        <v>93</v>
      </c>
      <c r="BF6" s="8" t="s">
        <v>90</v>
      </c>
      <c r="BG6" t="s">
        <v>90</v>
      </c>
      <c r="BH6" t="s">
        <v>105</v>
      </c>
      <c r="BJ6" s="8" t="s">
        <v>90</v>
      </c>
      <c r="BK6" s="6" t="s">
        <v>80</v>
      </c>
      <c r="BM6" s="8" t="s">
        <v>100</v>
      </c>
      <c r="BN6" t="s">
        <v>92</v>
      </c>
      <c r="BO6" s="8" t="s">
        <v>100</v>
      </c>
      <c r="BP6" t="s">
        <v>92</v>
      </c>
    </row>
    <row r="7" spans="1:68" ht="15" customHeight="1" x14ac:dyDescent="0.25">
      <c r="A7" t="s">
        <v>96</v>
      </c>
      <c r="B7" t="s">
        <v>81</v>
      </c>
      <c r="C7" t="s">
        <v>96</v>
      </c>
      <c r="D7" t="s">
        <v>79</v>
      </c>
      <c r="E7" t="s">
        <v>79</v>
      </c>
      <c r="F7" t="s">
        <v>80</v>
      </c>
      <c r="G7" t="s">
        <v>91</v>
      </c>
      <c r="H7" t="s">
        <v>76</v>
      </c>
      <c r="I7" t="s">
        <v>80</v>
      </c>
      <c r="J7" t="s">
        <v>92</v>
      </c>
      <c r="K7" t="s">
        <v>88</v>
      </c>
      <c r="L7" t="s">
        <v>76</v>
      </c>
      <c r="N7" t="s">
        <v>79</v>
      </c>
      <c r="O7" t="s">
        <v>83</v>
      </c>
      <c r="P7" t="s">
        <v>96</v>
      </c>
      <c r="Q7" t="s">
        <v>75</v>
      </c>
      <c r="R7" t="s">
        <v>83</v>
      </c>
      <c r="S7" t="s">
        <v>83</v>
      </c>
      <c r="T7" t="s">
        <v>83</v>
      </c>
      <c r="U7" t="s">
        <v>79</v>
      </c>
      <c r="V7" t="s">
        <v>79</v>
      </c>
      <c r="W7" t="s">
        <v>83</v>
      </c>
      <c r="Y7" t="s">
        <v>79</v>
      </c>
      <c r="Z7" t="s">
        <v>94</v>
      </c>
      <c r="AA7" t="s">
        <v>101</v>
      </c>
      <c r="AB7" s="8" t="s">
        <v>100</v>
      </c>
      <c r="AC7" t="s">
        <v>95</v>
      </c>
      <c r="AD7" t="s">
        <v>78</v>
      </c>
      <c r="AE7" t="s">
        <v>96</v>
      </c>
      <c r="AF7" t="s">
        <v>80</v>
      </c>
      <c r="AG7" t="s">
        <v>78</v>
      </c>
      <c r="AH7" t="s">
        <v>90</v>
      </c>
      <c r="AI7" s="7"/>
      <c r="AJ7" t="s">
        <v>102</v>
      </c>
      <c r="AK7" s="8" t="s">
        <v>106</v>
      </c>
      <c r="AL7" t="s">
        <v>89</v>
      </c>
      <c r="AM7" t="s">
        <v>78</v>
      </c>
      <c r="AN7" t="s">
        <v>94</v>
      </c>
      <c r="AO7" t="s">
        <v>89</v>
      </c>
      <c r="AP7" t="s">
        <v>89</v>
      </c>
      <c r="AQ7" t="s">
        <v>96</v>
      </c>
      <c r="AR7" t="s">
        <v>75</v>
      </c>
      <c r="AS7" t="s">
        <v>79</v>
      </c>
      <c r="AT7" t="s">
        <v>79</v>
      </c>
      <c r="AU7" t="s">
        <v>79</v>
      </c>
      <c r="AV7" t="s">
        <v>74</v>
      </c>
      <c r="AW7" t="s">
        <v>89</v>
      </c>
      <c r="AX7" t="s">
        <v>79</v>
      </c>
      <c r="AY7" t="s">
        <v>78</v>
      </c>
      <c r="AZ7" t="s">
        <v>104</v>
      </c>
      <c r="BA7" t="s">
        <v>97</v>
      </c>
      <c r="BB7" t="s">
        <v>96</v>
      </c>
      <c r="BC7" t="s">
        <v>88</v>
      </c>
      <c r="BD7" t="s">
        <v>75</v>
      </c>
      <c r="BE7" t="s">
        <v>102</v>
      </c>
      <c r="BF7" t="s">
        <v>100</v>
      </c>
      <c r="BG7" t="s">
        <v>92</v>
      </c>
      <c r="BH7" s="8" t="s">
        <v>107</v>
      </c>
      <c r="BJ7" t="s">
        <v>100</v>
      </c>
      <c r="BK7" t="s">
        <v>108</v>
      </c>
      <c r="BM7" t="s">
        <v>107</v>
      </c>
      <c r="BN7" t="s">
        <v>103</v>
      </c>
      <c r="BO7" t="s">
        <v>92</v>
      </c>
      <c r="BP7" s="7"/>
    </row>
    <row r="8" spans="1:68" ht="15" customHeight="1" x14ac:dyDescent="0.25">
      <c r="A8" t="s">
        <v>88</v>
      </c>
      <c r="B8" s="6" t="s">
        <v>76</v>
      </c>
      <c r="C8" t="s">
        <v>88</v>
      </c>
      <c r="D8" t="s">
        <v>88</v>
      </c>
      <c r="E8" t="s">
        <v>75</v>
      </c>
      <c r="F8" t="s">
        <v>87</v>
      </c>
      <c r="G8" s="7"/>
      <c r="H8" t="s">
        <v>91</v>
      </c>
      <c r="I8" t="s">
        <v>87</v>
      </c>
      <c r="J8" t="s">
        <v>109</v>
      </c>
      <c r="K8" t="s">
        <v>76</v>
      </c>
      <c r="L8" s="8" t="s">
        <v>106</v>
      </c>
      <c r="N8" t="s">
        <v>81</v>
      </c>
      <c r="O8" t="s">
        <v>96</v>
      </c>
      <c r="P8" t="s">
        <v>74</v>
      </c>
      <c r="Q8" t="s">
        <v>79</v>
      </c>
      <c r="R8" t="s">
        <v>78</v>
      </c>
      <c r="S8" t="s">
        <v>79</v>
      </c>
      <c r="T8" t="s">
        <v>96</v>
      </c>
      <c r="U8" t="s">
        <v>78</v>
      </c>
      <c r="V8" t="s">
        <v>88</v>
      </c>
      <c r="W8" t="s">
        <v>104</v>
      </c>
      <c r="Y8" t="s">
        <v>78</v>
      </c>
      <c r="Z8" t="s">
        <v>76</v>
      </c>
      <c r="AA8" s="6" t="s">
        <v>78</v>
      </c>
      <c r="AB8" t="s">
        <v>93</v>
      </c>
      <c r="AC8" t="s">
        <v>78</v>
      </c>
      <c r="AD8" s="6" t="s">
        <v>101</v>
      </c>
      <c r="AE8" t="s">
        <v>89</v>
      </c>
      <c r="AF8" t="s">
        <v>76</v>
      </c>
      <c r="AG8" t="s">
        <v>88</v>
      </c>
      <c r="AH8" t="s">
        <v>110</v>
      </c>
      <c r="AJ8" t="s">
        <v>76</v>
      </c>
      <c r="AK8" t="s">
        <v>107</v>
      </c>
      <c r="AL8" t="s">
        <v>87</v>
      </c>
      <c r="AM8" t="s">
        <v>76</v>
      </c>
      <c r="AN8" t="s">
        <v>76</v>
      </c>
      <c r="AO8" t="s">
        <v>87</v>
      </c>
      <c r="AP8" t="s">
        <v>91</v>
      </c>
      <c r="AQ8" t="s">
        <v>86</v>
      </c>
      <c r="AR8" t="s">
        <v>89</v>
      </c>
      <c r="AS8" t="s">
        <v>88</v>
      </c>
      <c r="AT8" t="s">
        <v>74</v>
      </c>
      <c r="AU8" t="s">
        <v>89</v>
      </c>
      <c r="AV8" t="s">
        <v>89</v>
      </c>
      <c r="AW8" t="s">
        <v>105</v>
      </c>
      <c r="AX8" t="s">
        <v>78</v>
      </c>
      <c r="AY8" t="s">
        <v>88</v>
      </c>
      <c r="AZ8" t="s">
        <v>78</v>
      </c>
      <c r="BA8" t="s">
        <v>96</v>
      </c>
      <c r="BB8" t="s">
        <v>89</v>
      </c>
      <c r="BC8" t="s">
        <v>105</v>
      </c>
      <c r="BD8" t="s">
        <v>87</v>
      </c>
      <c r="BE8" t="s">
        <v>110</v>
      </c>
      <c r="BF8" t="s">
        <v>93</v>
      </c>
      <c r="BG8" s="7"/>
      <c r="BH8" s="7"/>
      <c r="BJ8" t="s">
        <v>92</v>
      </c>
      <c r="BK8" t="s">
        <v>111</v>
      </c>
      <c r="BM8" t="s">
        <v>110</v>
      </c>
      <c r="BN8" t="s">
        <v>107</v>
      </c>
      <c r="BO8" s="7"/>
    </row>
    <row r="9" spans="1:68" ht="15" customHeight="1" x14ac:dyDescent="0.25">
      <c r="A9" t="s">
        <v>91</v>
      </c>
      <c r="B9" t="s">
        <v>90</v>
      </c>
      <c r="C9" t="s">
        <v>87</v>
      </c>
      <c r="D9" t="s">
        <v>96</v>
      </c>
      <c r="E9" t="s">
        <v>81</v>
      </c>
      <c r="F9" s="8" t="s">
        <v>107</v>
      </c>
      <c r="H9" s="8" t="s">
        <v>98</v>
      </c>
      <c r="I9" s="8" t="s">
        <v>107</v>
      </c>
      <c r="J9" s="7"/>
      <c r="K9" s="8" t="s">
        <v>106</v>
      </c>
      <c r="L9" t="s">
        <v>102</v>
      </c>
      <c r="N9" s="6" t="s">
        <v>99</v>
      </c>
      <c r="O9" t="s">
        <v>91</v>
      </c>
      <c r="P9" t="s">
        <v>78</v>
      </c>
      <c r="Q9" t="s">
        <v>96</v>
      </c>
      <c r="R9" t="s">
        <v>80</v>
      </c>
      <c r="S9" t="s">
        <v>99</v>
      </c>
      <c r="T9" t="s">
        <v>76</v>
      </c>
      <c r="U9" t="s">
        <v>89</v>
      </c>
      <c r="V9" s="8" t="s">
        <v>90</v>
      </c>
      <c r="W9" t="s">
        <v>76</v>
      </c>
      <c r="Y9" t="s">
        <v>89</v>
      </c>
      <c r="Z9" t="s">
        <v>91</v>
      </c>
      <c r="AA9" t="s">
        <v>107</v>
      </c>
      <c r="AB9" t="s">
        <v>107</v>
      </c>
      <c r="AC9" t="s">
        <v>89</v>
      </c>
      <c r="AD9" t="s">
        <v>107</v>
      </c>
      <c r="AE9" s="8" t="s">
        <v>90</v>
      </c>
      <c r="AF9" t="s">
        <v>91</v>
      </c>
      <c r="AG9" s="6" t="s">
        <v>87</v>
      </c>
      <c r="AH9" t="s">
        <v>109</v>
      </c>
      <c r="AJ9" t="s">
        <v>110</v>
      </c>
      <c r="AK9" t="s">
        <v>102</v>
      </c>
      <c r="AL9" s="8" t="s">
        <v>100</v>
      </c>
      <c r="AM9" t="s">
        <v>88</v>
      </c>
      <c r="AN9" t="s">
        <v>89</v>
      </c>
      <c r="AO9" t="s">
        <v>86</v>
      </c>
      <c r="AP9" s="8" t="s">
        <v>98</v>
      </c>
      <c r="AQ9" t="s">
        <v>87</v>
      </c>
      <c r="AR9" t="s">
        <v>87</v>
      </c>
      <c r="AS9" t="s">
        <v>87</v>
      </c>
      <c r="AT9" t="s">
        <v>78</v>
      </c>
      <c r="AU9" s="8" t="s">
        <v>98</v>
      </c>
      <c r="AV9" t="s">
        <v>105</v>
      </c>
      <c r="AW9" t="s">
        <v>88</v>
      </c>
      <c r="AX9" t="s">
        <v>89</v>
      </c>
      <c r="AY9" t="s">
        <v>76</v>
      </c>
      <c r="AZ9" t="s">
        <v>86</v>
      </c>
      <c r="BA9" t="s">
        <v>80</v>
      </c>
      <c r="BB9" t="s">
        <v>87</v>
      </c>
      <c r="BC9" s="8" t="s">
        <v>98</v>
      </c>
      <c r="BD9" s="8" t="s">
        <v>100</v>
      </c>
      <c r="BE9" s="7"/>
      <c r="BF9" t="s">
        <v>92</v>
      </c>
      <c r="BJ9" s="7"/>
      <c r="BK9" t="s">
        <v>107</v>
      </c>
      <c r="BM9" s="7"/>
      <c r="BN9" s="7"/>
    </row>
    <row r="10" spans="1:68" ht="15" customHeight="1" x14ac:dyDescent="0.25">
      <c r="A10" s="8" t="s">
        <v>98</v>
      </c>
      <c r="B10" t="s">
        <v>110</v>
      </c>
      <c r="C10" s="8" t="s">
        <v>93</v>
      </c>
      <c r="D10" s="8" t="s">
        <v>90</v>
      </c>
      <c r="E10" t="s">
        <v>88</v>
      </c>
      <c r="F10" t="s">
        <v>102</v>
      </c>
      <c r="H10" t="s">
        <v>100</v>
      </c>
      <c r="I10" t="s">
        <v>93</v>
      </c>
      <c r="K10" t="s">
        <v>102</v>
      </c>
      <c r="L10" t="s">
        <v>110</v>
      </c>
      <c r="N10" t="s">
        <v>111</v>
      </c>
      <c r="O10" s="8" t="s">
        <v>100</v>
      </c>
      <c r="P10" s="8" t="s">
        <v>93</v>
      </c>
      <c r="Q10" t="s">
        <v>88</v>
      </c>
      <c r="R10" t="s">
        <v>76</v>
      </c>
      <c r="S10" t="s">
        <v>76</v>
      </c>
      <c r="T10" t="s">
        <v>80</v>
      </c>
      <c r="U10" s="8" t="s">
        <v>100</v>
      </c>
      <c r="V10" t="s">
        <v>93</v>
      </c>
      <c r="W10" t="s">
        <v>87</v>
      </c>
      <c r="Y10" s="8" t="s">
        <v>86</v>
      </c>
      <c r="Z10" s="8" t="s">
        <v>106</v>
      </c>
      <c r="AA10" t="s">
        <v>102</v>
      </c>
      <c r="AB10" t="s">
        <v>92</v>
      </c>
      <c r="AC10" s="6" t="s">
        <v>87</v>
      </c>
      <c r="AD10" t="s">
        <v>102</v>
      </c>
      <c r="AE10" t="s">
        <v>112</v>
      </c>
      <c r="AF10" t="s">
        <v>100</v>
      </c>
      <c r="AG10" t="s">
        <v>90</v>
      </c>
      <c r="AH10" t="s">
        <v>107</v>
      </c>
      <c r="AJ10" s="7"/>
      <c r="AK10" t="s">
        <v>113</v>
      </c>
      <c r="AL10" t="s">
        <v>93</v>
      </c>
      <c r="AM10" s="8" t="s">
        <v>98</v>
      </c>
      <c r="AN10" s="8" t="s">
        <v>98</v>
      </c>
      <c r="AO10" t="s">
        <v>90</v>
      </c>
      <c r="AP10" t="s">
        <v>90</v>
      </c>
      <c r="AQ10" s="8" t="s">
        <v>93</v>
      </c>
      <c r="AR10" t="s">
        <v>76</v>
      </c>
      <c r="AS10" s="8" t="s">
        <v>98</v>
      </c>
      <c r="AT10" t="s">
        <v>86</v>
      </c>
      <c r="AU10" t="s">
        <v>90</v>
      </c>
      <c r="AV10" s="6" t="s">
        <v>99</v>
      </c>
      <c r="AW10" s="8" t="s">
        <v>100</v>
      </c>
      <c r="AX10" t="s">
        <v>87</v>
      </c>
      <c r="AY10" s="8" t="s">
        <v>98</v>
      </c>
      <c r="AZ10" t="s">
        <v>89</v>
      </c>
      <c r="BA10" t="s">
        <v>87</v>
      </c>
      <c r="BB10" t="s">
        <v>91</v>
      </c>
      <c r="BC10" t="s">
        <v>102</v>
      </c>
      <c r="BD10" t="s">
        <v>108</v>
      </c>
      <c r="BF10" s="7"/>
      <c r="BK10" t="s">
        <v>103</v>
      </c>
    </row>
    <row r="11" spans="1:68" ht="15" customHeight="1" x14ac:dyDescent="0.25">
      <c r="A11" t="s">
        <v>90</v>
      </c>
      <c r="B11" t="s">
        <v>109</v>
      </c>
      <c r="C11" t="s">
        <v>107</v>
      </c>
      <c r="D11" t="s">
        <v>92</v>
      </c>
      <c r="E11" s="8" t="s">
        <v>100</v>
      </c>
      <c r="F11" t="s">
        <v>92</v>
      </c>
      <c r="H11" t="s">
        <v>114</v>
      </c>
      <c r="I11" s="7"/>
      <c r="K11" t="s">
        <v>110</v>
      </c>
      <c r="L11" t="s">
        <v>113</v>
      </c>
      <c r="N11" t="s">
        <v>109</v>
      </c>
      <c r="O11" t="s">
        <v>93</v>
      </c>
      <c r="P11" t="s">
        <v>107</v>
      </c>
      <c r="Q11" t="s">
        <v>91</v>
      </c>
      <c r="R11" t="s">
        <v>86</v>
      </c>
      <c r="S11" t="s">
        <v>91</v>
      </c>
      <c r="T11" s="8" t="s">
        <v>93</v>
      </c>
      <c r="U11" t="s">
        <v>93</v>
      </c>
      <c r="V11" t="s">
        <v>114</v>
      </c>
      <c r="W11" t="s">
        <v>91</v>
      </c>
      <c r="Y11" t="s">
        <v>98</v>
      </c>
      <c r="Z11" t="s">
        <v>103</v>
      </c>
      <c r="AA11" t="s">
        <v>110</v>
      </c>
      <c r="AB11" s="7"/>
      <c r="AC11" t="s">
        <v>100</v>
      </c>
      <c r="AD11" t="s">
        <v>92</v>
      </c>
      <c r="AE11" t="s">
        <v>93</v>
      </c>
      <c r="AF11" t="s">
        <v>92</v>
      </c>
      <c r="AG11" t="s">
        <v>100</v>
      </c>
      <c r="AH11" t="s">
        <v>98</v>
      </c>
      <c r="AK11" t="s">
        <v>87</v>
      </c>
      <c r="AL11" t="s">
        <v>92</v>
      </c>
      <c r="AM11" t="s">
        <v>90</v>
      </c>
      <c r="AN11" t="s">
        <v>90</v>
      </c>
      <c r="AO11" t="s">
        <v>93</v>
      </c>
      <c r="AP11" t="s">
        <v>107</v>
      </c>
      <c r="AQ11" t="s">
        <v>102</v>
      </c>
      <c r="AR11" s="8" t="s">
        <v>98</v>
      </c>
      <c r="AS11" t="s">
        <v>100</v>
      </c>
      <c r="AT11" t="s">
        <v>89</v>
      </c>
      <c r="AU11" t="s">
        <v>92</v>
      </c>
      <c r="AV11" t="s">
        <v>100</v>
      </c>
      <c r="AW11" t="s">
        <v>110</v>
      </c>
      <c r="AX11" t="s">
        <v>91</v>
      </c>
      <c r="AY11" t="s">
        <v>90</v>
      </c>
      <c r="AZ11" s="8" t="s">
        <v>98</v>
      </c>
      <c r="BA11" s="8" t="s">
        <v>90</v>
      </c>
      <c r="BB11" t="s">
        <v>86</v>
      </c>
      <c r="BC11" t="s">
        <v>90</v>
      </c>
      <c r="BD11" t="s">
        <v>109</v>
      </c>
      <c r="BK11" s="7"/>
    </row>
    <row r="12" spans="1:68" ht="15" customHeight="1" x14ac:dyDescent="0.25">
      <c r="A12" t="s">
        <v>93</v>
      </c>
      <c r="B12" s="7"/>
      <c r="C12" t="s">
        <v>92</v>
      </c>
      <c r="D12" t="s">
        <v>98</v>
      </c>
      <c r="E12" t="s">
        <v>93</v>
      </c>
      <c r="F12" s="7"/>
      <c r="H12" s="7"/>
      <c r="K12" t="s">
        <v>113</v>
      </c>
      <c r="L12" s="7"/>
      <c r="N12" t="s">
        <v>110</v>
      </c>
      <c r="O12" t="s">
        <v>107</v>
      </c>
      <c r="P12" t="s">
        <v>102</v>
      </c>
      <c r="Q12" s="8" t="s">
        <v>103</v>
      </c>
      <c r="R12" s="8" t="s">
        <v>112</v>
      </c>
      <c r="S12" s="8" t="s">
        <v>103</v>
      </c>
      <c r="T12" t="s">
        <v>107</v>
      </c>
      <c r="U12" t="s">
        <v>107</v>
      </c>
      <c r="V12" s="7" t="s">
        <v>102</v>
      </c>
      <c r="W12" s="8" t="s">
        <v>98</v>
      </c>
      <c r="Y12" t="s">
        <v>93</v>
      </c>
      <c r="Z12" t="s">
        <v>107</v>
      </c>
      <c r="AA12" s="7" t="s">
        <v>90</v>
      </c>
      <c r="AC12" s="7"/>
      <c r="AD12" t="s">
        <v>87</v>
      </c>
      <c r="AE12" t="s">
        <v>114</v>
      </c>
      <c r="AF12" s="7"/>
      <c r="AG12" t="s">
        <v>109</v>
      </c>
      <c r="AH12" s="7"/>
      <c r="AK12" t="s">
        <v>93</v>
      </c>
      <c r="AL12" s="7"/>
      <c r="AM12" t="s">
        <v>100</v>
      </c>
      <c r="AN12" t="s">
        <v>100</v>
      </c>
      <c r="AO12" s="7"/>
      <c r="AP12" t="s">
        <v>103</v>
      </c>
      <c r="AQ12" t="s">
        <v>110</v>
      </c>
      <c r="AR12" t="s">
        <v>100</v>
      </c>
      <c r="AS12" s="7"/>
      <c r="AT12" s="8" t="s">
        <v>98</v>
      </c>
      <c r="AU12" s="7"/>
      <c r="AV12" t="s">
        <v>92</v>
      </c>
      <c r="AW12" t="s">
        <v>98</v>
      </c>
      <c r="AX12" t="s">
        <v>112</v>
      </c>
      <c r="AY12" t="s">
        <v>100</v>
      </c>
      <c r="AZ12" t="s">
        <v>90</v>
      </c>
      <c r="BA12" t="s">
        <v>100</v>
      </c>
      <c r="BB12" s="8" t="s">
        <v>98</v>
      </c>
      <c r="BC12" s="7"/>
      <c r="BD12" s="7"/>
    </row>
    <row r="13" spans="1:68" ht="15" customHeight="1" x14ac:dyDescent="0.25">
      <c r="A13" s="7"/>
      <c r="C13" s="7"/>
      <c r="D13" t="s">
        <v>114</v>
      </c>
      <c r="E13" t="s">
        <v>102</v>
      </c>
      <c r="K13" s="7"/>
      <c r="N13" s="7"/>
      <c r="O13" t="s">
        <v>92</v>
      </c>
      <c r="P13" t="s">
        <v>110</v>
      </c>
      <c r="Q13" t="s">
        <v>107</v>
      </c>
      <c r="R13" t="s">
        <v>111</v>
      </c>
      <c r="S13" t="s">
        <v>93</v>
      </c>
      <c r="T13" t="s">
        <v>92</v>
      </c>
      <c r="U13" t="s">
        <v>92</v>
      </c>
      <c r="W13" t="s">
        <v>107</v>
      </c>
      <c r="Y13" s="7"/>
      <c r="Z13" t="s">
        <v>102</v>
      </c>
      <c r="AD13" s="7"/>
      <c r="AE13" s="7"/>
      <c r="AG13" s="7"/>
      <c r="AK13" s="7"/>
      <c r="AM13" t="s">
        <v>102</v>
      </c>
      <c r="AN13" t="s">
        <v>92</v>
      </c>
      <c r="AP13" s="7"/>
      <c r="AQ13" s="7"/>
      <c r="AR13" t="s">
        <v>102</v>
      </c>
      <c r="AT13" t="s">
        <v>108</v>
      </c>
      <c r="AV13" t="s">
        <v>102</v>
      </c>
      <c r="AW13" s="7"/>
      <c r="AX13" t="s">
        <v>109</v>
      </c>
      <c r="AY13" t="s">
        <v>92</v>
      </c>
      <c r="AZ13" t="s">
        <v>107</v>
      </c>
      <c r="BA13" t="s">
        <v>108</v>
      </c>
      <c r="BB13" t="s">
        <v>100</v>
      </c>
    </row>
    <row r="14" spans="1:68" ht="15" customHeight="1" x14ac:dyDescent="0.25">
      <c r="D14" s="7"/>
      <c r="E14" t="s">
        <v>110</v>
      </c>
      <c r="O14" t="s">
        <v>89</v>
      </c>
      <c r="P14" s="7"/>
      <c r="Q14" t="s">
        <v>92</v>
      </c>
      <c r="R14" t="s">
        <v>109</v>
      </c>
      <c r="S14" t="s">
        <v>107</v>
      </c>
      <c r="T14" s="7"/>
      <c r="U14" t="s">
        <v>91</v>
      </c>
      <c r="W14" t="s">
        <v>102</v>
      </c>
      <c r="Z14" t="s">
        <v>113</v>
      </c>
      <c r="AM14" s="7"/>
      <c r="AN14" t="s">
        <v>107</v>
      </c>
      <c r="AR14" t="s">
        <v>92</v>
      </c>
      <c r="AT14" t="s">
        <v>107</v>
      </c>
      <c r="AV14" s="7"/>
      <c r="AX14" s="7"/>
      <c r="AY14" s="7"/>
      <c r="AZ14" t="s">
        <v>112</v>
      </c>
      <c r="BA14" s="7"/>
      <c r="BB14" t="s">
        <v>111</v>
      </c>
    </row>
    <row r="15" spans="1:68" ht="15" customHeight="1" x14ac:dyDescent="0.25">
      <c r="E15" s="7"/>
      <c r="O15" s="7"/>
      <c r="Q15" t="s">
        <v>110</v>
      </c>
      <c r="R15" t="s">
        <v>110</v>
      </c>
      <c r="S15" t="s">
        <v>102</v>
      </c>
      <c r="U15" t="s">
        <v>98</v>
      </c>
      <c r="W15" t="s">
        <v>110</v>
      </c>
      <c r="Z15" s="7"/>
      <c r="AN15" s="7"/>
      <c r="AR15" s="7"/>
      <c r="AT15" t="s">
        <v>103</v>
      </c>
      <c r="AZ15" s="7"/>
      <c r="BB15" s="7"/>
    </row>
    <row r="16" spans="1:68" ht="15" customHeight="1" x14ac:dyDescent="0.25">
      <c r="Q16" s="7"/>
      <c r="R16" s="7"/>
      <c r="S16" s="7"/>
      <c r="U16" s="7"/>
      <c r="W16" s="7"/>
      <c r="AT16" s="7"/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.7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Q42"/>
  <sheetViews>
    <sheetView zoomScaleNormal="100" workbookViewId="0">
      <selection activeCell="H21" sqref="H21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83" max="83" width="13.7109375" customWidth="1"/>
    <col min="85" max="85" width="17.28515625" customWidth="1"/>
  </cols>
  <sheetData>
    <row r="3" spans="1:43" ht="15" customHeight="1" x14ac:dyDescent="0.25">
      <c r="A3" t="s">
        <v>72</v>
      </c>
      <c r="B3" t="s">
        <v>77</v>
      </c>
      <c r="C3" t="s">
        <v>82</v>
      </c>
      <c r="D3" t="s">
        <v>73</v>
      </c>
      <c r="E3" t="s">
        <v>84</v>
      </c>
      <c r="F3" t="s">
        <v>74</v>
      </c>
      <c r="G3" t="s">
        <v>75</v>
      </c>
      <c r="H3" t="s">
        <v>85</v>
      </c>
      <c r="I3" t="s">
        <v>95</v>
      </c>
      <c r="J3" t="s">
        <v>97</v>
      </c>
      <c r="K3" t="s">
        <v>83</v>
      </c>
      <c r="L3" t="s">
        <v>79</v>
      </c>
      <c r="M3" t="s">
        <v>94</v>
      </c>
      <c r="N3" t="s">
        <v>96</v>
      </c>
      <c r="O3" t="s">
        <v>104</v>
      </c>
      <c r="P3" t="s">
        <v>78</v>
      </c>
      <c r="Q3" t="s">
        <v>81</v>
      </c>
      <c r="R3" t="s">
        <v>86</v>
      </c>
      <c r="S3" t="s">
        <v>99</v>
      </c>
      <c r="T3" t="s">
        <v>88</v>
      </c>
      <c r="U3" t="s">
        <v>80</v>
      </c>
      <c r="V3" t="s">
        <v>89</v>
      </c>
      <c r="W3" t="s">
        <v>76</v>
      </c>
      <c r="X3" t="s">
        <v>105</v>
      </c>
      <c r="Y3" t="s">
        <v>87</v>
      </c>
      <c r="Z3" t="s">
        <v>91</v>
      </c>
      <c r="AA3" t="s">
        <v>101</v>
      </c>
      <c r="AB3" t="s">
        <v>98</v>
      </c>
      <c r="AC3" t="s">
        <v>106</v>
      </c>
      <c r="AD3" t="s">
        <v>90</v>
      </c>
      <c r="AE3" t="s">
        <v>100</v>
      </c>
      <c r="AF3" t="s">
        <v>103</v>
      </c>
      <c r="AG3" t="s">
        <v>112</v>
      </c>
      <c r="AH3" t="s">
        <v>108</v>
      </c>
      <c r="AI3" t="s">
        <v>93</v>
      </c>
      <c r="AJ3" t="s">
        <v>111</v>
      </c>
      <c r="AK3" t="s">
        <v>107</v>
      </c>
      <c r="AL3" t="s">
        <v>109</v>
      </c>
      <c r="AM3" t="s">
        <v>102</v>
      </c>
      <c r="AN3" t="s">
        <v>110</v>
      </c>
      <c r="AO3" t="s">
        <v>92</v>
      </c>
      <c r="AP3" t="s">
        <v>113</v>
      </c>
      <c r="AQ3" t="s">
        <v>114</v>
      </c>
    </row>
    <row r="4" spans="1:43" ht="15" customHeight="1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68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68</v>
      </c>
      <c r="AF4" t="s">
        <v>39</v>
      </c>
      <c r="AG4" t="s">
        <v>21</v>
      </c>
      <c r="AH4" t="s">
        <v>56</v>
      </c>
      <c r="AI4" t="s">
        <v>41</v>
      </c>
      <c r="AJ4" t="s">
        <v>17</v>
      </c>
      <c r="AK4" t="s">
        <v>68</v>
      </c>
      <c r="AL4" t="s">
        <v>17</v>
      </c>
      <c r="AM4" t="s">
        <v>58</v>
      </c>
      <c r="AN4" t="s">
        <v>68</v>
      </c>
      <c r="AO4" t="s">
        <v>24</v>
      </c>
      <c r="AP4" t="s">
        <v>14</v>
      </c>
      <c r="AQ4" t="s">
        <v>11</v>
      </c>
    </row>
    <row r="5" spans="1:43" ht="15" customHeight="1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63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63</v>
      </c>
      <c r="T5" t="s">
        <v>67</v>
      </c>
      <c r="U5" t="s">
        <v>9</v>
      </c>
      <c r="V5" t="s">
        <v>41</v>
      </c>
      <c r="W5" t="s">
        <v>54</v>
      </c>
      <c r="X5" t="s">
        <v>63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54</v>
      </c>
      <c r="AF5" t="s">
        <v>29</v>
      </c>
      <c r="AG5" t="s">
        <v>34</v>
      </c>
      <c r="AH5" t="s">
        <v>49</v>
      </c>
      <c r="AI5" t="s">
        <v>38</v>
      </c>
      <c r="AJ5" t="s">
        <v>21</v>
      </c>
      <c r="AK5" t="s">
        <v>63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</row>
    <row r="6" spans="1:43" ht="15" customHeight="1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59</v>
      </c>
      <c r="I6" t="s">
        <v>32</v>
      </c>
      <c r="J6" t="s">
        <v>66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65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51</v>
      </c>
      <c r="AF6" t="s">
        <v>22</v>
      </c>
      <c r="AG6" t="s">
        <v>53</v>
      </c>
      <c r="AH6" t="s">
        <v>66</v>
      </c>
      <c r="AI6" t="s">
        <v>40</v>
      </c>
      <c r="AJ6" t="s">
        <v>57</v>
      </c>
      <c r="AK6" t="s">
        <v>69</v>
      </c>
      <c r="AL6" t="s">
        <v>53</v>
      </c>
      <c r="AM6" t="s">
        <v>51</v>
      </c>
      <c r="AN6" t="s">
        <v>52</v>
      </c>
      <c r="AO6" t="s">
        <v>35</v>
      </c>
      <c r="AP6" t="s">
        <v>40</v>
      </c>
      <c r="AQ6" t="s">
        <v>7</v>
      </c>
    </row>
    <row r="7" spans="1:43" ht="15" customHeight="1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60</v>
      </c>
      <c r="I7" t="s">
        <v>53</v>
      </c>
      <c r="J7" t="s">
        <v>59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66</v>
      </c>
      <c r="Z7" t="s">
        <v>10</v>
      </c>
      <c r="AA7" t="s">
        <v>30</v>
      </c>
      <c r="AB7" t="s">
        <v>62</v>
      </c>
      <c r="AC7" t="s">
        <v>15</v>
      </c>
      <c r="AD7" t="s">
        <v>42</v>
      </c>
      <c r="AE7" t="s">
        <v>43</v>
      </c>
      <c r="AF7" t="s">
        <v>20</v>
      </c>
      <c r="AG7" t="s">
        <v>55</v>
      </c>
      <c r="AH7" t="s">
        <v>59</v>
      </c>
      <c r="AI7" t="s">
        <v>60</v>
      </c>
      <c r="AJ7" t="s">
        <v>66</v>
      </c>
      <c r="AK7" t="s">
        <v>43</v>
      </c>
      <c r="AL7" t="s">
        <v>59</v>
      </c>
      <c r="AM7" t="s">
        <v>60</v>
      </c>
      <c r="AN7" t="s">
        <v>60</v>
      </c>
      <c r="AO7" t="s">
        <v>23</v>
      </c>
      <c r="AP7" t="s">
        <v>15</v>
      </c>
      <c r="AQ7" t="s">
        <v>25</v>
      </c>
    </row>
    <row r="8" spans="1:43" ht="15" customHeight="1" x14ac:dyDescent="0.25">
      <c r="A8" t="s">
        <v>21</v>
      </c>
      <c r="D8" t="s">
        <v>115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115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31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</row>
    <row r="9" spans="1:43" ht="15" customHeight="1" x14ac:dyDescent="0.25">
      <c r="A9" t="s">
        <v>45</v>
      </c>
      <c r="D9" t="s">
        <v>46</v>
      </c>
      <c r="F9" t="s">
        <v>54</v>
      </c>
      <c r="G9" t="s">
        <v>4</v>
      </c>
      <c r="H9" t="s">
        <v>115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18</v>
      </c>
      <c r="AF9" t="s">
        <v>45</v>
      </c>
      <c r="AI9" t="s">
        <v>24</v>
      </c>
      <c r="AK9" t="s">
        <v>49</v>
      </c>
      <c r="AL9" t="s">
        <v>36</v>
      </c>
      <c r="AM9" t="s">
        <v>47</v>
      </c>
      <c r="AN9" t="s">
        <v>26</v>
      </c>
      <c r="AO9" t="s">
        <v>50</v>
      </c>
    </row>
    <row r="10" spans="1:43" ht="15" customHeight="1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32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</row>
    <row r="11" spans="1:43" ht="15" customHeight="1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61</v>
      </c>
      <c r="L11" t="s">
        <v>48</v>
      </c>
      <c r="N11" t="s">
        <v>59</v>
      </c>
      <c r="P11" t="s">
        <v>19</v>
      </c>
      <c r="R11" t="s">
        <v>28</v>
      </c>
      <c r="T11" t="s">
        <v>42</v>
      </c>
      <c r="U11" t="s">
        <v>66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35</v>
      </c>
      <c r="AF11" t="s">
        <v>66</v>
      </c>
      <c r="AI11" t="s">
        <v>61</v>
      </c>
      <c r="AK11" t="s">
        <v>55</v>
      </c>
      <c r="AL11" t="s">
        <v>37</v>
      </c>
      <c r="AM11" t="s">
        <v>42</v>
      </c>
      <c r="AN11" t="s">
        <v>37</v>
      </c>
      <c r="AO11" t="s">
        <v>62</v>
      </c>
    </row>
    <row r="12" spans="1:43" ht="15" customHeight="1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115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24</v>
      </c>
      <c r="AI12" t="s">
        <v>6</v>
      </c>
      <c r="AK12" t="s">
        <v>6</v>
      </c>
      <c r="AM12" t="s">
        <v>39</v>
      </c>
      <c r="AN12" t="s">
        <v>5</v>
      </c>
      <c r="AO12" t="s">
        <v>6</v>
      </c>
    </row>
    <row r="13" spans="1:43" ht="15" customHeight="1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36</v>
      </c>
      <c r="AI13" t="s">
        <v>4</v>
      </c>
      <c r="AK13" t="s">
        <v>9</v>
      </c>
      <c r="AM13" t="s">
        <v>29</v>
      </c>
      <c r="AN13" t="s">
        <v>14</v>
      </c>
      <c r="AO13" t="s">
        <v>54</v>
      </c>
    </row>
    <row r="14" spans="1:43" ht="15" customHeight="1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59</v>
      </c>
      <c r="Z14" t="s">
        <v>57</v>
      </c>
      <c r="AB14" t="s">
        <v>57</v>
      </c>
      <c r="AD14" t="s">
        <v>62</v>
      </c>
      <c r="AE14" t="s">
        <v>52</v>
      </c>
      <c r="AI14" t="s">
        <v>12</v>
      </c>
      <c r="AK14" t="s">
        <v>20</v>
      </c>
      <c r="AM14" t="s">
        <v>22</v>
      </c>
      <c r="AN14" t="s">
        <v>15</v>
      </c>
      <c r="AO14" t="s">
        <v>7</v>
      </c>
    </row>
    <row r="15" spans="1:43" ht="15" customHeight="1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61</v>
      </c>
      <c r="Y15" t="s">
        <v>60</v>
      </c>
      <c r="Z15" t="s">
        <v>53</v>
      </c>
      <c r="AB15" t="s">
        <v>28</v>
      </c>
      <c r="AD15" t="s">
        <v>43</v>
      </c>
      <c r="AE15" t="s">
        <v>48</v>
      </c>
      <c r="AI15" t="s">
        <v>8</v>
      </c>
      <c r="AK15" t="s">
        <v>12</v>
      </c>
      <c r="AM15" t="s">
        <v>30</v>
      </c>
      <c r="AN15" t="s">
        <v>8</v>
      </c>
      <c r="AO15" t="s">
        <v>43</v>
      </c>
    </row>
    <row r="16" spans="1:43" ht="15" customHeight="1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11</v>
      </c>
      <c r="AI16" t="s">
        <v>44</v>
      </c>
      <c r="AK16" t="s">
        <v>24</v>
      </c>
      <c r="AM16" t="s">
        <v>14</v>
      </c>
      <c r="AN16" t="s">
        <v>39</v>
      </c>
      <c r="AO16" t="s">
        <v>41</v>
      </c>
    </row>
    <row r="17" spans="1:41" ht="15" customHeight="1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68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47</v>
      </c>
      <c r="AI17" t="s">
        <v>34</v>
      </c>
      <c r="AK17" t="s">
        <v>45</v>
      </c>
      <c r="AM17" t="s">
        <v>33</v>
      </c>
      <c r="AN17" t="s">
        <v>21</v>
      </c>
      <c r="AO17" t="s">
        <v>71</v>
      </c>
    </row>
    <row r="18" spans="1:41" ht="15" customHeight="1" x14ac:dyDescent="0.25">
      <c r="A18" t="s">
        <v>27</v>
      </c>
      <c r="D18" t="s">
        <v>35</v>
      </c>
      <c r="F18" t="s">
        <v>62</v>
      </c>
      <c r="G18" t="s">
        <v>59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65</v>
      </c>
      <c r="Z18" t="s">
        <v>22</v>
      </c>
      <c r="AB18" t="s">
        <v>7</v>
      </c>
      <c r="AD18" t="s">
        <v>13</v>
      </c>
      <c r="AE18" t="s">
        <v>8</v>
      </c>
      <c r="AI18" t="s">
        <v>19</v>
      </c>
      <c r="AK18" t="s">
        <v>19</v>
      </c>
      <c r="AM18" t="s">
        <v>19</v>
      </c>
      <c r="AN18" t="s">
        <v>20</v>
      </c>
      <c r="AO18" t="s">
        <v>69</v>
      </c>
    </row>
    <row r="19" spans="1:41" ht="15" customHeight="1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42</v>
      </c>
      <c r="AI19" t="s">
        <v>25</v>
      </c>
      <c r="AK19" t="s">
        <v>66</v>
      </c>
      <c r="AM19" t="s">
        <v>15</v>
      </c>
      <c r="AN19" t="s">
        <v>30</v>
      </c>
      <c r="AO19" t="s">
        <v>27</v>
      </c>
    </row>
    <row r="20" spans="1:41" ht="15" customHeight="1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44</v>
      </c>
      <c r="AE20" t="s">
        <v>56</v>
      </c>
      <c r="AI20" t="s">
        <v>31</v>
      </c>
      <c r="AK20" t="s">
        <v>29</v>
      </c>
      <c r="AM20" t="s">
        <v>38</v>
      </c>
      <c r="AO20" t="s">
        <v>31</v>
      </c>
    </row>
    <row r="21" spans="1:41" ht="15" customHeight="1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71</v>
      </c>
      <c r="AE21" t="s">
        <v>41</v>
      </c>
      <c r="AI21" t="s">
        <v>18</v>
      </c>
      <c r="AK21" t="s">
        <v>26</v>
      </c>
      <c r="AM21" t="s">
        <v>26</v>
      </c>
      <c r="AO21" t="s">
        <v>70</v>
      </c>
    </row>
    <row r="22" spans="1:41" ht="15" customHeight="1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57</v>
      </c>
      <c r="AI22" t="s">
        <v>22</v>
      </c>
      <c r="AK22" t="s">
        <v>40</v>
      </c>
      <c r="AM22" t="s">
        <v>40</v>
      </c>
      <c r="AO22" t="s">
        <v>65</v>
      </c>
    </row>
    <row r="23" spans="1:41" ht="15" customHeight="1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59</v>
      </c>
      <c r="AI23" t="s">
        <v>23</v>
      </c>
      <c r="AK23" t="s">
        <v>37</v>
      </c>
      <c r="AM23" t="s">
        <v>25</v>
      </c>
      <c r="AO23" t="s">
        <v>61</v>
      </c>
    </row>
    <row r="24" spans="1:41" ht="15" customHeight="1" x14ac:dyDescent="0.25">
      <c r="G24" t="s">
        <v>9</v>
      </c>
      <c r="L24" t="s">
        <v>38</v>
      </c>
      <c r="AD24" t="s">
        <v>56</v>
      </c>
      <c r="AE24" t="s">
        <v>71</v>
      </c>
      <c r="AK24" t="s">
        <v>33</v>
      </c>
      <c r="AO24" t="s">
        <v>9</v>
      </c>
    </row>
    <row r="25" spans="1:41" ht="15" customHeight="1" x14ac:dyDescent="0.25">
      <c r="G25" t="s">
        <v>47</v>
      </c>
      <c r="L25" t="s">
        <v>49</v>
      </c>
      <c r="AD25" t="s">
        <v>45</v>
      </c>
      <c r="AE25" t="s">
        <v>70</v>
      </c>
      <c r="AK25" t="s">
        <v>18</v>
      </c>
      <c r="AO25" t="s">
        <v>33</v>
      </c>
    </row>
    <row r="26" spans="1:41" ht="15" customHeight="1" x14ac:dyDescent="0.25">
      <c r="G26" t="s">
        <v>8</v>
      </c>
      <c r="L26" t="s">
        <v>22</v>
      </c>
      <c r="AD26" t="s">
        <v>65</v>
      </c>
      <c r="AE26" t="s">
        <v>65</v>
      </c>
      <c r="AK26" t="s">
        <v>23</v>
      </c>
      <c r="AO26" t="s">
        <v>20</v>
      </c>
    </row>
    <row r="27" spans="1:41" ht="15" customHeight="1" x14ac:dyDescent="0.25">
      <c r="G27" t="s">
        <v>64</v>
      </c>
      <c r="L27" t="s">
        <v>20</v>
      </c>
      <c r="AD27" t="s">
        <v>61</v>
      </c>
      <c r="AE27" t="s">
        <v>61</v>
      </c>
      <c r="AK27" t="s">
        <v>30</v>
      </c>
      <c r="AO27" t="s">
        <v>13</v>
      </c>
    </row>
    <row r="28" spans="1:41" ht="15" customHeight="1" x14ac:dyDescent="0.25"/>
    <row r="29" spans="1:41" ht="15" customHeight="1" x14ac:dyDescent="0.25"/>
    <row r="30" spans="1:41" ht="15" customHeight="1" x14ac:dyDescent="0.25"/>
    <row r="31" spans="1:41" ht="15" customHeight="1" x14ac:dyDescent="0.25"/>
    <row r="32" spans="1:4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Q14"/>
  <sheetViews>
    <sheetView zoomScale="96" zoomScaleNormal="96" workbookViewId="0">
      <selection activeCell="AB4" sqref="AB4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9" max="69" width="19.28515625" customWidth="1"/>
    <col min="70" max="70" width="55.7109375" customWidth="1"/>
    <col min="78" max="78" width="9.28515625" customWidth="1"/>
    <col min="79" max="79" width="66.140625" customWidth="1"/>
    <col min="80" max="80" width="56.28515625" customWidth="1"/>
    <col min="81" max="81" width="41.28515625" customWidth="1"/>
    <col min="82" max="82" width="75.7109375" customWidth="1"/>
    <col min="83" max="83" width="65.7109375" customWidth="1"/>
    <col min="84" max="84" width="52.28515625" customWidth="1"/>
    <col min="85" max="85" width="49.7109375" customWidth="1"/>
    <col min="91" max="91" width="44.42578125" customWidth="1"/>
    <col min="92" max="92" width="54.28515625" customWidth="1"/>
    <col min="103" max="103" width="66.85546875" customWidth="1"/>
  </cols>
  <sheetData>
    <row r="3" spans="1:43" ht="15" customHeight="1" x14ac:dyDescent="0.25">
      <c r="A3" t="s">
        <v>72</v>
      </c>
      <c r="B3" t="s">
        <v>77</v>
      </c>
      <c r="C3" t="s">
        <v>82</v>
      </c>
      <c r="D3" t="s">
        <v>73</v>
      </c>
      <c r="E3" t="s">
        <v>84</v>
      </c>
      <c r="F3" t="s">
        <v>74</v>
      </c>
      <c r="G3" t="s">
        <v>75</v>
      </c>
      <c r="H3" t="s">
        <v>85</v>
      </c>
      <c r="I3" t="s">
        <v>95</v>
      </c>
      <c r="J3" t="s">
        <v>97</v>
      </c>
      <c r="K3" t="s">
        <v>83</v>
      </c>
      <c r="L3" t="s">
        <v>79</v>
      </c>
      <c r="M3" t="s">
        <v>94</v>
      </c>
      <c r="N3" t="s">
        <v>96</v>
      </c>
      <c r="O3" t="s">
        <v>104</v>
      </c>
      <c r="P3" t="s">
        <v>78</v>
      </c>
      <c r="Q3" t="s">
        <v>81</v>
      </c>
      <c r="R3" t="s">
        <v>86</v>
      </c>
      <c r="S3" t="s">
        <v>99</v>
      </c>
      <c r="T3" t="s">
        <v>88</v>
      </c>
      <c r="U3" t="s">
        <v>80</v>
      </c>
      <c r="V3" t="s">
        <v>89</v>
      </c>
      <c r="W3" t="s">
        <v>76</v>
      </c>
      <c r="X3" t="s">
        <v>105</v>
      </c>
      <c r="Y3" t="s">
        <v>87</v>
      </c>
      <c r="Z3" t="s">
        <v>91</v>
      </c>
      <c r="AA3" t="s">
        <v>101</v>
      </c>
      <c r="AB3" t="s">
        <v>98</v>
      </c>
      <c r="AC3" t="s">
        <v>106</v>
      </c>
      <c r="AD3" t="s">
        <v>90</v>
      </c>
      <c r="AE3" t="s">
        <v>100</v>
      </c>
      <c r="AF3" t="s">
        <v>103</v>
      </c>
      <c r="AG3" t="s">
        <v>112</v>
      </c>
      <c r="AH3" t="s">
        <v>108</v>
      </c>
      <c r="AI3" t="s">
        <v>93</v>
      </c>
      <c r="AJ3" t="s">
        <v>111</v>
      </c>
      <c r="AK3" t="s">
        <v>107</v>
      </c>
      <c r="AL3" t="s">
        <v>109</v>
      </c>
      <c r="AM3" t="s">
        <v>102</v>
      </c>
      <c r="AN3" t="s">
        <v>110</v>
      </c>
      <c r="AO3" t="s">
        <v>92</v>
      </c>
      <c r="AP3" t="s">
        <v>113</v>
      </c>
      <c r="AQ3" t="s">
        <v>114</v>
      </c>
    </row>
    <row r="4" spans="1:43" ht="15" customHeight="1" x14ac:dyDescent="0.2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129</v>
      </c>
      <c r="O4" t="s">
        <v>130</v>
      </c>
      <c r="P4" t="s">
        <v>131</v>
      </c>
      <c r="Q4" t="s">
        <v>132</v>
      </c>
      <c r="R4" t="s">
        <v>133</v>
      </c>
      <c r="S4" t="s">
        <v>134</v>
      </c>
      <c r="T4" t="s">
        <v>135</v>
      </c>
      <c r="U4" t="s">
        <v>136</v>
      </c>
      <c r="V4" t="s">
        <v>137</v>
      </c>
      <c r="W4" t="s">
        <v>138</v>
      </c>
      <c r="X4" t="s">
        <v>139</v>
      </c>
      <c r="Y4" t="s">
        <v>140</v>
      </c>
      <c r="Z4" t="s">
        <v>141</v>
      </c>
      <c r="AA4" t="s">
        <v>142</v>
      </c>
      <c r="AB4" t="s">
        <v>143</v>
      </c>
      <c r="AC4" t="s">
        <v>144</v>
      </c>
      <c r="AD4" t="s">
        <v>145</v>
      </c>
      <c r="AE4" t="s">
        <v>146</v>
      </c>
      <c r="AF4" t="s">
        <v>147</v>
      </c>
      <c r="AG4" t="s">
        <v>148</v>
      </c>
      <c r="AH4" t="s">
        <v>149</v>
      </c>
      <c r="AI4" t="s">
        <v>150</v>
      </c>
      <c r="AJ4" t="s">
        <v>151</v>
      </c>
      <c r="AK4" t="s">
        <v>152</v>
      </c>
      <c r="AL4" t="s">
        <v>153</v>
      </c>
      <c r="AM4" t="s">
        <v>154</v>
      </c>
      <c r="AN4" t="s">
        <v>155</v>
      </c>
      <c r="AO4" t="s">
        <v>156</v>
      </c>
      <c r="AP4" t="s">
        <v>144</v>
      </c>
      <c r="AQ4" t="s">
        <v>157</v>
      </c>
    </row>
    <row r="5" spans="1:43" ht="15" customHeight="1" x14ac:dyDescent="0.25">
      <c r="A5" t="s">
        <v>158</v>
      </c>
      <c r="D5" t="s">
        <v>159</v>
      </c>
      <c r="F5" t="s">
        <v>160</v>
      </c>
      <c r="G5" t="s">
        <v>161</v>
      </c>
      <c r="H5" t="s">
        <v>162</v>
      </c>
      <c r="K5" t="s">
        <v>163</v>
      </c>
      <c r="L5" t="s">
        <v>164</v>
      </c>
      <c r="N5" t="s">
        <v>165</v>
      </c>
      <c r="P5" t="s">
        <v>166</v>
      </c>
      <c r="R5" t="s">
        <v>167</v>
      </c>
      <c r="T5" t="s">
        <v>168</v>
      </c>
      <c r="U5" t="s">
        <v>169</v>
      </c>
      <c r="V5" t="s">
        <v>170</v>
      </c>
      <c r="W5" t="s">
        <v>171</v>
      </c>
      <c r="Y5" t="s">
        <v>172</v>
      </c>
      <c r="Z5" t="s">
        <v>173</v>
      </c>
      <c r="AB5" t="s">
        <v>174</v>
      </c>
      <c r="AD5" t="s">
        <v>175</v>
      </c>
      <c r="AE5" t="s">
        <v>176</v>
      </c>
      <c r="AF5" t="s">
        <v>177</v>
      </c>
      <c r="AI5" t="s">
        <v>178</v>
      </c>
      <c r="AK5" t="s">
        <v>179</v>
      </c>
      <c r="AL5" t="s">
        <v>180</v>
      </c>
      <c r="AM5" t="s">
        <v>181</v>
      </c>
      <c r="AN5" t="s">
        <v>182</v>
      </c>
      <c r="AO5" t="s">
        <v>183</v>
      </c>
    </row>
    <row r="6" spans="1:43" ht="15" customHeight="1" x14ac:dyDescent="0.25">
      <c r="A6" t="s">
        <v>184</v>
      </c>
      <c r="D6" t="s">
        <v>185</v>
      </c>
      <c r="F6" t="s">
        <v>186</v>
      </c>
      <c r="G6" t="s">
        <v>187</v>
      </c>
      <c r="H6" t="s">
        <v>188</v>
      </c>
      <c r="K6" t="s">
        <v>189</v>
      </c>
      <c r="L6" t="s">
        <v>190</v>
      </c>
      <c r="N6" t="s">
        <v>191</v>
      </c>
      <c r="P6" t="s">
        <v>192</v>
      </c>
      <c r="T6" t="s">
        <v>193</v>
      </c>
      <c r="V6" t="s">
        <v>194</v>
      </c>
      <c r="W6" t="s">
        <v>195</v>
      </c>
      <c r="Y6" t="s">
        <v>196</v>
      </c>
      <c r="Z6" t="s">
        <v>197</v>
      </c>
      <c r="AB6" t="s">
        <v>198</v>
      </c>
      <c r="AD6" t="s">
        <v>199</v>
      </c>
      <c r="AE6" t="s">
        <v>200</v>
      </c>
      <c r="AI6" t="s">
        <v>201</v>
      </c>
      <c r="AK6" t="s">
        <v>202</v>
      </c>
      <c r="AM6" t="s">
        <v>203</v>
      </c>
      <c r="AN6" t="s">
        <v>204</v>
      </c>
      <c r="AO6" t="s">
        <v>205</v>
      </c>
    </row>
    <row r="7" spans="1:43" ht="15" customHeight="1" x14ac:dyDescent="0.25">
      <c r="A7" t="s">
        <v>206</v>
      </c>
      <c r="D7" t="s">
        <v>207</v>
      </c>
      <c r="F7" t="s">
        <v>208</v>
      </c>
      <c r="G7" t="s">
        <v>209</v>
      </c>
      <c r="H7" t="s">
        <v>210</v>
      </c>
      <c r="K7" t="s">
        <v>211</v>
      </c>
      <c r="L7" t="s">
        <v>212</v>
      </c>
      <c r="N7" t="s">
        <v>213</v>
      </c>
      <c r="P7" t="s">
        <v>214</v>
      </c>
      <c r="T7" t="s">
        <v>215</v>
      </c>
      <c r="V7" t="s">
        <v>216</v>
      </c>
      <c r="W7" t="s">
        <v>217</v>
      </c>
      <c r="Y7" t="s">
        <v>218</v>
      </c>
      <c r="Z7" t="s">
        <v>219</v>
      </c>
      <c r="AB7" t="s">
        <v>220</v>
      </c>
      <c r="AD7" t="s">
        <v>221</v>
      </c>
      <c r="AE7" t="s">
        <v>222</v>
      </c>
      <c r="AI7" t="s">
        <v>223</v>
      </c>
      <c r="AK7" t="s">
        <v>224</v>
      </c>
      <c r="AM7" t="s">
        <v>225</v>
      </c>
      <c r="AN7" t="s">
        <v>226</v>
      </c>
      <c r="AO7" t="s">
        <v>227</v>
      </c>
    </row>
    <row r="8" spans="1:43" ht="15" customHeight="1" x14ac:dyDescent="0.25">
      <c r="A8" t="s">
        <v>228</v>
      </c>
      <c r="D8" t="s">
        <v>229</v>
      </c>
      <c r="F8" t="s">
        <v>230</v>
      </c>
      <c r="G8" t="s">
        <v>231</v>
      </c>
      <c r="H8" t="s">
        <v>232</v>
      </c>
      <c r="K8" t="s">
        <v>233</v>
      </c>
      <c r="L8" t="s">
        <v>234</v>
      </c>
      <c r="V8" t="s">
        <v>235</v>
      </c>
      <c r="W8" t="s">
        <v>236</v>
      </c>
      <c r="Y8" t="s">
        <v>237</v>
      </c>
      <c r="AB8" t="s">
        <v>238</v>
      </c>
      <c r="AD8" t="s">
        <v>239</v>
      </c>
      <c r="AE8" t="s">
        <v>240</v>
      </c>
      <c r="AI8" t="s">
        <v>241</v>
      </c>
      <c r="AK8" t="s">
        <v>242</v>
      </c>
      <c r="AM8" t="s">
        <v>243</v>
      </c>
      <c r="AO8" t="s">
        <v>244</v>
      </c>
    </row>
    <row r="9" spans="1:43" ht="15" customHeight="1" x14ac:dyDescent="0.25">
      <c r="G9" t="s">
        <v>245</v>
      </c>
      <c r="L9" t="s">
        <v>246</v>
      </c>
      <c r="AD9" t="s">
        <v>247</v>
      </c>
      <c r="AE9" t="s">
        <v>248</v>
      </c>
      <c r="AK9" t="s">
        <v>249</v>
      </c>
      <c r="AO9" t="s">
        <v>250</v>
      </c>
    </row>
    <row r="10" spans="1:43" ht="15" customHeight="1" x14ac:dyDescent="0.25"/>
    <row r="11" spans="1:43" ht="15" customHeight="1" x14ac:dyDescent="0.25"/>
    <row r="12" spans="1:43" ht="15" customHeight="1" x14ac:dyDescent="0.25"/>
    <row r="13" spans="1:43" ht="15" customHeight="1" x14ac:dyDescent="0.25"/>
    <row r="14" spans="1:43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tabSelected="1" zoomScaleNormal="100" workbookViewId="0">
      <selection activeCell="H25" sqref="H25"/>
    </sheetView>
  </sheetViews>
  <sheetFormatPr defaultRowHeight="15" x14ac:dyDescent="0.25"/>
  <cols>
    <col min="1" max="1" width="13.8554687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7" t="s">
        <v>251</v>
      </c>
      <c r="B1" s="68"/>
      <c r="C1" s="9">
        <f>COUNTIF(AHL_DAT_STRING!4:18,"&lt;&gt;")</f>
        <v>136</v>
      </c>
    </row>
    <row r="2" spans="1:12" ht="15.75" customHeight="1" x14ac:dyDescent="0.25">
      <c r="A2" s="69" t="s">
        <v>252</v>
      </c>
      <c r="B2" s="70"/>
      <c r="C2" s="10">
        <f>C1*4</f>
        <v>544</v>
      </c>
    </row>
    <row r="3" spans="1:12" x14ac:dyDescent="0.25">
      <c r="A3" s="11" t="s">
        <v>252</v>
      </c>
      <c r="B3" s="12">
        <f>COUNTIF(AHL!4:50, "&lt;&gt;")</f>
        <v>544</v>
      </c>
      <c r="E3" s="71" t="s">
        <v>253</v>
      </c>
      <c r="F3" s="70"/>
      <c r="G3" s="70"/>
      <c r="H3" s="70"/>
    </row>
    <row r="4" spans="1:12" ht="15.75" customHeight="1" x14ac:dyDescent="0.25">
      <c r="A4" s="13" t="s">
        <v>254</v>
      </c>
      <c r="B4" s="14">
        <f>SUMIF(AHL!2:2,"sl",AHL!1:1)</f>
        <v>79</v>
      </c>
      <c r="E4" t="s">
        <v>255</v>
      </c>
      <c r="F4" t="s">
        <v>256</v>
      </c>
      <c r="G4" t="s">
        <v>257</v>
      </c>
      <c r="H4" t="s">
        <v>258</v>
      </c>
      <c r="I4" t="s">
        <v>259</v>
      </c>
      <c r="J4" t="s">
        <v>260</v>
      </c>
      <c r="K4" t="s">
        <v>261</v>
      </c>
      <c r="L4" t="s">
        <v>262</v>
      </c>
    </row>
    <row r="5" spans="1:12" ht="15.75" customHeight="1" x14ac:dyDescent="0.25">
      <c r="A5" s="13" t="s">
        <v>1</v>
      </c>
      <c r="B5" s="14">
        <f>SUMIF(AHL!2:2,"hr",AHL!1:1)</f>
        <v>18</v>
      </c>
      <c r="E5" s="15" t="s">
        <v>254</v>
      </c>
      <c r="F5" s="16">
        <v>2</v>
      </c>
      <c r="G5" s="17">
        <f>F5/13</f>
        <v>0.15384615384615385</v>
      </c>
      <c r="H5" s="18">
        <f>B4/B3</f>
        <v>0.14522058823529413</v>
      </c>
      <c r="I5" s="19">
        <f>C2*G5</f>
        <v>83.692307692307693</v>
      </c>
      <c r="J5">
        <f>B4</f>
        <v>79</v>
      </c>
      <c r="K5" s="20">
        <f>J5-I5</f>
        <v>-4.6923076923076934</v>
      </c>
      <c r="L5" s="21">
        <f>K5/4</f>
        <v>-1.1730769230769234</v>
      </c>
    </row>
    <row r="6" spans="1:12" ht="15.75" customHeight="1" x14ac:dyDescent="0.25">
      <c r="A6" s="13" t="s">
        <v>2</v>
      </c>
      <c r="B6" s="14">
        <f>SUMIF(AHL!2:2,"it",AHL!1:1)</f>
        <v>216</v>
      </c>
      <c r="E6" s="15" t="s">
        <v>1</v>
      </c>
      <c r="F6" s="16">
        <v>1</v>
      </c>
      <c r="G6" s="17">
        <f>F6/13</f>
        <v>7.6923076923076927E-2</v>
      </c>
      <c r="H6" s="18">
        <f>B5/B3</f>
        <v>3.3088235294117647E-2</v>
      </c>
      <c r="I6" s="19">
        <f>C2*G6</f>
        <v>41.846153846153847</v>
      </c>
      <c r="J6">
        <f>B5</f>
        <v>18</v>
      </c>
      <c r="K6" s="20">
        <f>J6-I6</f>
        <v>-23.846153846153847</v>
      </c>
      <c r="L6" s="21">
        <f t="shared" ref="L6" si="0">K6/4</f>
        <v>-5.9615384615384617</v>
      </c>
    </row>
    <row r="7" spans="1:12" ht="15.75" customHeight="1" x14ac:dyDescent="0.25">
      <c r="A7" s="22" t="s">
        <v>3</v>
      </c>
      <c r="B7" s="23">
        <f>SUMIF(AHL!2:2,"au",AHL!1:1)</f>
        <v>231</v>
      </c>
      <c r="E7" s="24" t="s">
        <v>263</v>
      </c>
      <c r="F7" s="25">
        <v>3</v>
      </c>
      <c r="G7" s="26">
        <f t="shared" ref="G7:G9" si="1">F7/13</f>
        <v>0.23076923076923078</v>
      </c>
      <c r="H7" s="27">
        <f>(B5+B4)/B3</f>
        <v>0.17830882352941177</v>
      </c>
      <c r="I7" s="19">
        <f>C2*G7</f>
        <v>125.53846153846155</v>
      </c>
      <c r="J7">
        <f>B4+B5</f>
        <v>97</v>
      </c>
      <c r="K7" s="20">
        <f>J7-I7</f>
        <v>-28.538461538461547</v>
      </c>
      <c r="L7" s="21">
        <f>K7/4</f>
        <v>-7.1346153846153868</v>
      </c>
    </row>
    <row r="8" spans="1:12" ht="15.75" customHeight="1" x14ac:dyDescent="0.25">
      <c r="E8" s="28" t="s">
        <v>264</v>
      </c>
      <c r="F8" s="29">
        <v>6</v>
      </c>
      <c r="G8" s="30">
        <f t="shared" si="1"/>
        <v>0.46153846153846156</v>
      </c>
      <c r="H8" s="31">
        <f>B6/B3</f>
        <v>0.39705882352941174</v>
      </c>
      <c r="I8" s="19">
        <f>C2*G8</f>
        <v>251.07692307692309</v>
      </c>
      <c r="J8">
        <f>B6</f>
        <v>216</v>
      </c>
      <c r="K8" s="20">
        <f>J8-I8</f>
        <v>-35.076923076923094</v>
      </c>
      <c r="L8" s="21">
        <f>K8/4</f>
        <v>-8.7692307692307736</v>
      </c>
    </row>
    <row r="9" spans="1:12" ht="15.75" customHeight="1" x14ac:dyDescent="0.25">
      <c r="A9" t="s">
        <v>265</v>
      </c>
      <c r="B9">
        <f>SUM(B4:B7)</f>
        <v>544</v>
      </c>
      <c r="E9" s="28" t="s">
        <v>266</v>
      </c>
      <c r="F9" s="29">
        <v>4</v>
      </c>
      <c r="G9" s="30">
        <f t="shared" si="1"/>
        <v>0.30769230769230771</v>
      </c>
      <c r="H9" s="31">
        <f>B7/B3</f>
        <v>0.42463235294117646</v>
      </c>
      <c r="I9" s="19">
        <f>C2*G9</f>
        <v>167.38461538461539</v>
      </c>
      <c r="J9">
        <f>B7</f>
        <v>231</v>
      </c>
      <c r="K9" s="32">
        <f>J9-I9</f>
        <v>63.615384615384613</v>
      </c>
      <c r="L9" s="21">
        <f>K9/4</f>
        <v>15.903846153846153</v>
      </c>
    </row>
    <row r="11" spans="1:12" x14ac:dyDescent="0.25">
      <c r="H11" s="33" t="s">
        <v>267</v>
      </c>
      <c r="I11" s="34">
        <f>SUM(I7:I9)</f>
        <v>544</v>
      </c>
      <c r="J11" s="28">
        <f>SUM(J7:J9)</f>
        <v>544</v>
      </c>
      <c r="K11" s="35">
        <f>SUM(K7:K9)</f>
        <v>0</v>
      </c>
      <c r="L11" s="36">
        <f>SUM(L7:L9)</f>
        <v>0</v>
      </c>
    </row>
    <row r="16" spans="1:12" ht="15.75" customHeight="1" x14ac:dyDescent="0.25">
      <c r="E16" t="s">
        <v>268</v>
      </c>
      <c r="F16" t="s">
        <v>256</v>
      </c>
      <c r="G16" t="s">
        <v>269</v>
      </c>
      <c r="H16" t="s">
        <v>258</v>
      </c>
      <c r="I16" s="37" t="s">
        <v>259</v>
      </c>
      <c r="J16" s="37" t="s">
        <v>260</v>
      </c>
      <c r="K16" t="s">
        <v>261</v>
      </c>
      <c r="L16" t="s">
        <v>262</v>
      </c>
    </row>
    <row r="17" spans="5:19" x14ac:dyDescent="0.25">
      <c r="E17" s="38" t="s">
        <v>263</v>
      </c>
      <c r="F17" s="39">
        <v>3</v>
      </c>
      <c r="G17" s="40">
        <f t="shared" ref="G17:G19" si="2">F17/13</f>
        <v>0.23076923076923078</v>
      </c>
      <c r="H17" s="41">
        <f>(B5+B4)/B3</f>
        <v>0.17830882352941177</v>
      </c>
      <c r="I17" s="42">
        <f>B3*G17</f>
        <v>125.53846153846155</v>
      </c>
      <c r="J17" s="43">
        <f>B5+B4</f>
        <v>97</v>
      </c>
      <c r="K17" s="44">
        <f>J17-I17</f>
        <v>-28.538461538461547</v>
      </c>
      <c r="L17" s="21">
        <f>K17/4</f>
        <v>-7.1346153846153868</v>
      </c>
    </row>
    <row r="18" spans="5:19" x14ac:dyDescent="0.25">
      <c r="E18" s="45" t="s">
        <v>264</v>
      </c>
      <c r="F18" s="46">
        <v>6</v>
      </c>
      <c r="G18" s="47">
        <f t="shared" si="2"/>
        <v>0.46153846153846156</v>
      </c>
      <c r="H18" s="48">
        <f>B6/B3</f>
        <v>0.39705882352941174</v>
      </c>
      <c r="I18" s="49">
        <f>B3*G18</f>
        <v>251.07692307692309</v>
      </c>
      <c r="J18" s="50">
        <f>B6</f>
        <v>216</v>
      </c>
      <c r="K18" s="51">
        <f>J18-I18</f>
        <v>-35.076923076923094</v>
      </c>
      <c r="L18" s="21">
        <f>K18/4</f>
        <v>-8.7692307692307736</v>
      </c>
      <c r="Q18" s="52"/>
    </row>
    <row r="19" spans="5:19" ht="15.75" customHeight="1" x14ac:dyDescent="0.25">
      <c r="E19" s="53" t="s">
        <v>266</v>
      </c>
      <c r="F19" s="54">
        <v>4</v>
      </c>
      <c r="G19" s="55">
        <f t="shared" si="2"/>
        <v>0.30769230769230771</v>
      </c>
      <c r="H19" s="56">
        <f>B7/B3</f>
        <v>0.42463235294117646</v>
      </c>
      <c r="I19" s="57">
        <f>B3*G19</f>
        <v>167.38461538461539</v>
      </c>
      <c r="J19" s="58">
        <f>B7</f>
        <v>231</v>
      </c>
      <c r="K19" s="59">
        <f>J19-I19</f>
        <v>63.615384615384613</v>
      </c>
      <c r="L19" s="21">
        <f>K19/4</f>
        <v>15.903846153846153</v>
      </c>
    </row>
    <row r="24" spans="5:19" ht="15.75" customHeight="1" x14ac:dyDescent="0.25">
      <c r="E24" s="70"/>
      <c r="F24" s="70"/>
      <c r="P24" s="72" t="s">
        <v>270</v>
      </c>
      <c r="Q24" s="72"/>
      <c r="R24" s="72"/>
      <c r="S24" s="72"/>
    </row>
    <row r="25" spans="5:19" ht="75.75" customHeight="1" x14ac:dyDescent="0.25">
      <c r="P25" s="60"/>
      <c r="Q25" s="61" t="s">
        <v>271</v>
      </c>
      <c r="R25" s="62" t="s">
        <v>272</v>
      </c>
      <c r="S25" s="63" t="s">
        <v>261</v>
      </c>
    </row>
    <row r="26" spans="5:19" x14ac:dyDescent="0.25">
      <c r="P26" s="64" t="s">
        <v>264</v>
      </c>
      <c r="Q26" s="28">
        <v>247</v>
      </c>
      <c r="R26" s="28">
        <v>212</v>
      </c>
      <c r="S26" s="14">
        <f>R26-Q26</f>
        <v>-35</v>
      </c>
    </row>
    <row r="27" spans="5:19" x14ac:dyDescent="0.25">
      <c r="P27" s="64" t="s">
        <v>263</v>
      </c>
      <c r="Q27" s="28">
        <v>124</v>
      </c>
      <c r="R27" s="28">
        <v>92</v>
      </c>
      <c r="S27" s="14">
        <f t="shared" ref="S27:S28" si="3">R27-Q27</f>
        <v>-32</v>
      </c>
    </row>
    <row r="28" spans="5:19" ht="15.75" customHeight="1" x14ac:dyDescent="0.25">
      <c r="P28" s="65" t="s">
        <v>266</v>
      </c>
      <c r="Q28" s="66">
        <v>165</v>
      </c>
      <c r="R28" s="66">
        <v>232</v>
      </c>
      <c r="S28" s="23">
        <f t="shared" si="3"/>
        <v>67</v>
      </c>
    </row>
  </sheetData>
  <mergeCells count="5">
    <mergeCell ref="A1:B1"/>
    <mergeCell ref="A2:B2"/>
    <mergeCell ref="E3:H3"/>
    <mergeCell ref="E24:F24"/>
    <mergeCell ref="P24:S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2024-11-20T13:52:18Z</dcterms:modified>
</cp:coreProperties>
</file>