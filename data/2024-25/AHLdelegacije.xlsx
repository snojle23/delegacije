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1A9C49DF-1202-4C32-B7F5-03989AAA06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HL" sheetId="1" r:id="rId1"/>
    <sheet name="AHL_DAT" sheetId="3" r:id="rId2"/>
    <sheet name="AHL_DAT_STRING" sheetId="4" r:id="rId3"/>
    <sheet name="Stevilo tekem po drzavah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5" l="1"/>
  <c r="G24" i="5"/>
  <c r="G23" i="5"/>
  <c r="G19" i="5"/>
  <c r="G18" i="5"/>
  <c r="G17" i="5"/>
  <c r="G9" i="5"/>
  <c r="G8" i="5"/>
  <c r="G7" i="5"/>
  <c r="B7" i="5"/>
  <c r="G6" i="5"/>
  <c r="G5" i="5"/>
  <c r="B5" i="5"/>
  <c r="J6" i="5" s="1"/>
  <c r="B4" i="5"/>
  <c r="J5" i="5" s="1"/>
  <c r="B3" i="5"/>
  <c r="C1" i="5"/>
  <c r="C2" i="5" s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C6" i="5" s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C4" i="5" s="1"/>
  <c r="H1" i="1"/>
  <c r="G1" i="1"/>
  <c r="F1" i="1"/>
  <c r="E1" i="1"/>
  <c r="D1" i="1"/>
  <c r="C1" i="1"/>
  <c r="B1" i="1"/>
  <c r="A1" i="1"/>
  <c r="B6" i="5" l="1"/>
  <c r="H8" i="5" s="1"/>
  <c r="C7" i="5"/>
  <c r="C8" i="5"/>
  <c r="I23" i="5" s="1"/>
  <c r="I5" i="5"/>
  <c r="I8" i="5"/>
  <c r="I6" i="5"/>
  <c r="I9" i="5"/>
  <c r="I7" i="5"/>
  <c r="I11" i="5" s="1"/>
  <c r="K5" i="5"/>
  <c r="L5" i="5" s="1"/>
  <c r="J25" i="5"/>
  <c r="K6" i="5"/>
  <c r="L6" i="5" s="1"/>
  <c r="H7" i="5"/>
  <c r="H17" i="5"/>
  <c r="H19" i="5"/>
  <c r="I24" i="5"/>
  <c r="I17" i="5"/>
  <c r="I19" i="5"/>
  <c r="J7" i="5"/>
  <c r="H9" i="5"/>
  <c r="J17" i="5"/>
  <c r="J19" i="5"/>
  <c r="K19" i="5" s="1"/>
  <c r="L19" i="5" s="1"/>
  <c r="H6" i="5"/>
  <c r="J9" i="5"/>
  <c r="H25" i="5"/>
  <c r="I25" i="5"/>
  <c r="H23" i="5"/>
  <c r="I18" i="5"/>
  <c r="H5" i="5"/>
  <c r="J23" i="5"/>
  <c r="H18" i="5" l="1"/>
  <c r="B9" i="5"/>
  <c r="J8" i="5"/>
  <c r="K8" i="5" s="1"/>
  <c r="L8" i="5" s="1"/>
  <c r="K17" i="5"/>
  <c r="L17" i="5" s="1"/>
  <c r="J18" i="5"/>
  <c r="K18" i="5" s="1"/>
  <c r="L18" i="5" s="1"/>
  <c r="H24" i="5"/>
  <c r="J24" i="5"/>
  <c r="K24" i="5" s="1"/>
  <c r="K25" i="5"/>
  <c r="K23" i="5"/>
  <c r="K28" i="5" s="1"/>
  <c r="K7" i="5"/>
  <c r="K9" i="5"/>
  <c r="L9" i="5" s="1"/>
  <c r="J26" i="5"/>
  <c r="J28" i="5" s="1"/>
  <c r="H26" i="5"/>
  <c r="J11" i="5" l="1"/>
  <c r="K11" i="5"/>
  <c r="L7" i="5"/>
  <c r="L11" i="5" s="1"/>
</calcChain>
</file>

<file path=xl/sharedStrings.xml><?xml version="1.0" encoding="utf-8"?>
<sst xmlns="http://schemas.openxmlformats.org/spreadsheetml/2006/main" count="3281" uniqueCount="519">
  <si>
    <t>sl</t>
  </si>
  <si>
    <t>hr</t>
  </si>
  <si>
    <t>it</t>
  </si>
  <si>
    <t>au</t>
  </si>
  <si>
    <t>SnojTa</t>
  </si>
  <si>
    <t>BajtMi</t>
  </si>
  <si>
    <t>BulovecMi</t>
  </si>
  <si>
    <t>ArlicMa</t>
  </si>
  <si>
    <t>MarkizetiGr</t>
  </si>
  <si>
    <t>LebenJa</t>
  </si>
  <si>
    <t>MiklicGr</t>
  </si>
  <si>
    <t>LesniakBo</t>
  </si>
  <si>
    <t>JeramFi</t>
  </si>
  <si>
    <t>JavornikBl</t>
  </si>
  <si>
    <t>MetzingerFi</t>
  </si>
  <si>
    <t>KnezRo</t>
  </si>
  <si>
    <t>PiragicTr</t>
  </si>
  <si>
    <t>BenvegnuAn</t>
  </si>
  <si>
    <t>SoraperraSi</t>
  </si>
  <si>
    <t>FecchioFe</t>
  </si>
  <si>
    <t>GrisentiLu</t>
  </si>
  <si>
    <t>LazzeriAl</t>
  </si>
  <si>
    <t>BrondiPa</t>
  </si>
  <si>
    <t>FormaioniTh</t>
  </si>
  <si>
    <t>MoschenAn</t>
  </si>
  <si>
    <t>RivisAn</t>
  </si>
  <si>
    <t>VirtaTu</t>
  </si>
  <si>
    <t>FleischmannLu</t>
  </si>
  <si>
    <t>IlmerNo</t>
  </si>
  <si>
    <t>StefenelliFe</t>
  </si>
  <si>
    <t>ScalzeriAl</t>
  </si>
  <si>
    <t>GiacomozziFe</t>
  </si>
  <si>
    <t>AbeltinoSi</t>
  </si>
  <si>
    <t>PirasAn</t>
  </si>
  <si>
    <t>RivisFe</t>
  </si>
  <si>
    <t>CusinFe</t>
  </si>
  <si>
    <t>PinieOm</t>
  </si>
  <si>
    <t>PaceJa</t>
  </si>
  <si>
    <t>LegaSi</t>
  </si>
  <si>
    <t>EggerTh</t>
  </si>
  <si>
    <t>CristeliMa</t>
  </si>
  <si>
    <t>KainbergerJu</t>
  </si>
  <si>
    <t>TelesklavFa</t>
  </si>
  <si>
    <t>WuchererGe</t>
  </si>
  <si>
    <t>Huber rRe</t>
  </si>
  <si>
    <t>SpiegelSe</t>
  </si>
  <si>
    <t>MeixnerSe</t>
  </si>
  <si>
    <t>OrelSt</t>
  </si>
  <si>
    <t>WendnerMa</t>
  </si>
  <si>
    <t>RuetzMa</t>
  </si>
  <si>
    <t>VoicanCh</t>
  </si>
  <si>
    <t>LegatKo</t>
  </si>
  <si>
    <t>PreiserJu</t>
  </si>
  <si>
    <t>RinkerDa</t>
  </si>
  <si>
    <t>WidmannFl</t>
  </si>
  <si>
    <t>StrimitzerDa</t>
  </si>
  <si>
    <t>HolzerTo</t>
  </si>
  <si>
    <t>DivisDo</t>
  </si>
  <si>
    <t>BrockAd</t>
  </si>
  <si>
    <t>HlavatyAl</t>
  </si>
  <si>
    <t>SeewaldJe</t>
  </si>
  <si>
    <t>ZacherlPa</t>
  </si>
  <si>
    <t>MoidlMa</t>
  </si>
  <si>
    <t>WeissAl</t>
  </si>
  <si>
    <t>WenuschHe</t>
  </si>
  <si>
    <t>PuffWo</t>
  </si>
  <si>
    <t>MattheyPh</t>
  </si>
  <si>
    <t>JägerRi</t>
  </si>
  <si>
    <t>SternatCh</t>
  </si>
  <si>
    <t>EislCh</t>
  </si>
  <si>
    <t>MoidlDa</t>
  </si>
  <si>
    <t>LehnerMo</t>
  </si>
  <si>
    <t>UnterwegerDo</t>
  </si>
  <si>
    <t>2024-09-21</t>
  </si>
  <si>
    <t>2024-09-26</t>
  </si>
  <si>
    <t>2024-10-05</t>
  </si>
  <si>
    <t>2024-09-28</t>
  </si>
  <si>
    <t>2024-11-01</t>
  </si>
  <si>
    <t>2024-09-22</t>
  </si>
  <si>
    <t>2024-10-19</t>
  </si>
  <si>
    <t>2024-10-12</t>
  </si>
  <si>
    <t>2024-10-27</t>
  </si>
  <si>
    <t>2024-10-20</t>
  </si>
  <si>
    <t>2024-09-24</t>
  </si>
  <si>
    <t>2024-10-10</t>
  </si>
  <si>
    <t>2024-09-29</t>
  </si>
  <si>
    <t>2024-10-26</t>
  </si>
  <si>
    <t>2024-10-03</t>
  </si>
  <si>
    <t>2024-10-23</t>
  </si>
  <si>
    <t>2024-11-03</t>
  </si>
  <si>
    <t>2024-10-29</t>
  </si>
  <si>
    <t>2024-11-23</t>
  </si>
  <si>
    <t>2024-12-26</t>
  </si>
  <si>
    <t>2024-10-24</t>
  </si>
  <si>
    <t>2024-12-07</t>
  </si>
  <si>
    <t>2024-11-14</t>
  </si>
  <si>
    <t>2024-10-16</t>
  </si>
  <si>
    <t>2024-10-08</t>
  </si>
  <si>
    <t>2024-10-17</t>
  </si>
  <si>
    <t>2024-10-09</t>
  </si>
  <si>
    <t>2024-11-16</t>
  </si>
  <si>
    <t>2024-10-25</t>
  </si>
  <si>
    <t>2024-11-30</t>
  </si>
  <si>
    <t>2024-12-17</t>
  </si>
  <si>
    <t>2024-12-28</t>
  </si>
  <si>
    <t>2024-10-31</t>
  </si>
  <si>
    <t>2024-11-28</t>
  </si>
  <si>
    <t>2024-12-03</t>
  </si>
  <si>
    <t>2024-10-06</t>
  </si>
  <si>
    <t>2024-12-30</t>
  </si>
  <si>
    <t>2024-11-02</t>
  </si>
  <si>
    <t>2024-12-19</t>
  </si>
  <si>
    <t>2024-12-21</t>
  </si>
  <si>
    <t>2024-11-17</t>
  </si>
  <si>
    <t>2024-11-21</t>
  </si>
  <si>
    <t>2024-12-05</t>
  </si>
  <si>
    <t>2024-11-12</t>
  </si>
  <si>
    <t>2024-12-22</t>
  </si>
  <si>
    <t>2024-11-26</t>
  </si>
  <si>
    <t>2025-01-30</t>
  </si>
  <si>
    <t>2025-01-06</t>
  </si>
  <si>
    <t>2025-01-02</t>
  </si>
  <si>
    <t>2025-02-04</t>
  </si>
  <si>
    <t>2024-11-19</t>
  </si>
  <si>
    <t>2025-02-15</t>
  </si>
  <si>
    <t>2025-01-21</t>
  </si>
  <si>
    <t>2025-02-01</t>
  </si>
  <si>
    <t>2025-03-01</t>
  </si>
  <si>
    <t>2025-01-16</t>
  </si>
  <si>
    <t>2024-12-01</t>
  </si>
  <si>
    <t>2025-01-14</t>
  </si>
  <si>
    <t>2025-01-09</t>
  </si>
  <si>
    <t>2025-02-02</t>
  </si>
  <si>
    <t>2024-11-24</t>
  </si>
  <si>
    <t>2025-01-05</t>
  </si>
  <si>
    <t>2025-03-04</t>
  </si>
  <si>
    <t>2025-01-23</t>
  </si>
  <si>
    <t>2025-01-04</t>
  </si>
  <si>
    <t>2025-02-20</t>
  </si>
  <si>
    <t>2025-03-11</t>
  </si>
  <si>
    <t>2025-01-11</t>
  </si>
  <si>
    <t>2024-12-04</t>
  </si>
  <si>
    <t>2025-01-03</t>
  </si>
  <si>
    <t>2025-02-18</t>
  </si>
  <si>
    <t>2025-02-13</t>
  </si>
  <si>
    <t>2025-02-27</t>
  </si>
  <si>
    <t>2025-01-28</t>
  </si>
  <si>
    <t>2025-03-13</t>
  </si>
  <si>
    <t>2025-01-18</t>
  </si>
  <si>
    <t>2025-03-15</t>
  </si>
  <si>
    <t>2025-02-11</t>
  </si>
  <si>
    <t>2025-01-22</t>
  </si>
  <si>
    <t>2025-01-12</t>
  </si>
  <si>
    <t>2025-02-22</t>
  </si>
  <si>
    <t>2025-03-18</t>
  </si>
  <si>
    <t>2025-01-08</t>
  </si>
  <si>
    <t>2025-01-25</t>
  </si>
  <si>
    <t>2024-12-27</t>
  </si>
  <si>
    <t>2025-03-08</t>
  </si>
  <si>
    <t>2025-01-26</t>
  </si>
  <si>
    <t>2025-03-22</t>
  </si>
  <si>
    <t>2025-02-23</t>
  </si>
  <si>
    <t>2025-01-29</t>
  </si>
  <si>
    <t>2025-03-29</t>
  </si>
  <si>
    <t>2025-03-16</t>
  </si>
  <si>
    <t>2025-02-05</t>
  </si>
  <si>
    <t>2025-04-01</t>
  </si>
  <si>
    <t>2025-02-25</t>
  </si>
  <si>
    <t>2025-03-25</t>
  </si>
  <si>
    <t>2025-04-13</t>
  </si>
  <si>
    <t>2025-04-05</t>
  </si>
  <si>
    <t>2025-04-08</t>
  </si>
  <si>
    <t>2025-04-10</t>
  </si>
  <si>
    <t>2025-03-20</t>
  </si>
  <si>
    <t>2025-03-27</t>
  </si>
  <si>
    <t>2025-04-15</t>
  </si>
  <si>
    <t>HuberRe</t>
  </si>
  <si>
    <t>Eishalle Sterzing;BenvegnuAn;SoraperraSi;FecchioFe;GrisentiLu</t>
  </si>
  <si>
    <t>Eishalle Cortina;MetzingerFi;StefenelliFe;AbeltinoSi;ScalzeriAl</t>
  </si>
  <si>
    <t>Eisarena Salzburg;KainbergerJu;VoicanCh;LegatKo;PreiserJu</t>
  </si>
  <si>
    <t>Eishalle Jesenice;BajtMi;BulovecMi;ArlicMa;MarkizetiGr</t>
  </si>
  <si>
    <t>Eishalle Celje;MeixnerSe;VoicanCh;LegatKo;PreiserJu</t>
  </si>
  <si>
    <t>Eishalle Sterzing;LazzeriAl;MoschenAn;GrisentiLu;RivisAn</t>
  </si>
  <si>
    <t>Eishalle Ritten;MoschenAn;SoraperraSi;IlmerNo;RivisAn</t>
  </si>
  <si>
    <t>Sportpark Kitzbühel;RuetzMa;SpiegelSe;SeewaldJe;ZacherlPa</t>
  </si>
  <si>
    <t>Eishalle Gröden;RuetzMa;StefenelliFe;AbeltinoSi;RinkerDa</t>
  </si>
  <si>
    <t>Eishalle Dornbirn;HolzerTo;SpiegelSe;JägerRi;SeewaldJe</t>
  </si>
  <si>
    <t>Eishalle Celje;BulovecMi;MeixnerSe;MiklicGr;TelesklavFa</t>
  </si>
  <si>
    <t>KELIT Arena Zell am See;BajtMi;WenuschHe;PreiserJu;RinkerDa</t>
  </si>
  <si>
    <t>Eishalle Gröden;OrelSt;StefenelliFe;ScalzeriAl;WuchererGe</t>
  </si>
  <si>
    <t>Sportpark Kitzbühel;HolzerTo;KainbergerJu;DivisDo;FecchioFe</t>
  </si>
  <si>
    <t>Würtharena Neumarkt;OrelSt;VirtaTu;StrimitzerDa;WuchererGe</t>
  </si>
  <si>
    <t>Eisarena Salzburg;RuetzMa;WidmannFl;RinkerDa;TelesklavFa</t>
  </si>
  <si>
    <t>Eishalle Cortina;BajtMi;BenvegnuAn;CristeliMa;MarkizetiGr</t>
  </si>
  <si>
    <t>Eisarena Salzburg;MeixnerSe;RuetzMa;MattheyPh;StrimitzerDa</t>
  </si>
  <si>
    <t>Eisarena Salzburg;BenvegnuAn;WenuschHe;BrondiPa;LegatKo</t>
  </si>
  <si>
    <t>Eishalle Sterzing;BrockAd;SternatCh;RivisAn;WendnerMa</t>
  </si>
  <si>
    <t>Eishalle Celje;LazzeriAl;LebenJa;FormaioniTh;JeramFi</t>
  </si>
  <si>
    <t>Eishalle Jesenice;HlavatyAl;KainbergerJu;EislCh;PreiserJu</t>
  </si>
  <si>
    <t>Eishalle Ritten;OrelSt;WidmannFl;TelesklavFa;WuchererGe</t>
  </si>
  <si>
    <t>Eishalle Sissek Zibel;BrockAd;WenuschHe;LegatKo;PreiserJu</t>
  </si>
  <si>
    <t>Eishalle Dornbirn;PinieOm;VirtaTu;DivisDo;JägerRi</t>
  </si>
  <si>
    <t>Eishalle Jesenice;LesniakBo;SnojTa;JavornikBl;MiklicGr</t>
  </si>
  <si>
    <t>Eishalle Sterzing;GiacomozziFe;PirasAn;PaceJa;ScalzeriAl</t>
  </si>
  <si>
    <t>Sportpark Kitzbühel;SpiegelSe;VoicanCh;PreiserJu;WeissAl</t>
  </si>
  <si>
    <t>Eishalle Ritten;MetzingerFi;StefenelliFe;CristeliMa;KnezRo</t>
  </si>
  <si>
    <t>Eishalle Jesenice;BrockAd;SnojTa;ArlicMa;TelesklavFa</t>
  </si>
  <si>
    <t>Würtharena Neumarkt;GiacomozziFe;SoraperraSi;AbeltinoSi;CusinFe</t>
  </si>
  <si>
    <t>Eishalle Gröden;EggerTh;StefenelliFe;BrondiPa;GrisentiLu</t>
  </si>
  <si>
    <t>Eishalle Dornbirn;HolzerTo;Huber rRe;DivisDo;RinkerDa</t>
  </si>
  <si>
    <t>Eisarena Salzburg;HolzerTo;RuetzMa;JägerRi;SeewaldJe</t>
  </si>
  <si>
    <t>Sportpark Kitzbühel;KainbergerJu;LegaSi;CristeliMa;ZacherlPa</t>
  </si>
  <si>
    <t>Eishalle Dornbirn;BenvegnuAn;LazzeriAl;DivisDo;JägerRi</t>
  </si>
  <si>
    <t>KELIT Arena Zell am See;HlavatyAl;WenuschHe;EislCh;WuchererGe</t>
  </si>
  <si>
    <t>Kitzbühel Sportpark;BenvegnuAn;LazzeriAl;RinkerDa;SeewaldJe</t>
  </si>
  <si>
    <t>Eishalle Jesenice;BrockAd;MeixnerSe;PreiserJu;ZacherlPa</t>
  </si>
  <si>
    <t>Sportpark Kitzbühel;HlavatyAl;MeixnerSe;EislCh;WeissAl</t>
  </si>
  <si>
    <t>Eishalle Sterzing;MoschenAn;SoraperraSi;CusinFe;FormaioniTh</t>
  </si>
  <si>
    <t>Eishalle Celje;LesniakBo;RivisFe;ArlicMa;RivisAn</t>
  </si>
  <si>
    <t>Eishalle Celje;LehnerMo;MeixnerSe;MattheyPh;WendnerMa</t>
  </si>
  <si>
    <t>Eishalle Jesenice;BajtMi;LehnerMo;MarkizetiGr;MattheyPh</t>
  </si>
  <si>
    <t>Eishalle Sterzing;BrockAd;MoidlDa;FecchioFe;MattheyPh</t>
  </si>
  <si>
    <t>Eishalle Ritten;BenvegnuAn;MoschenAn;BrondiPa;WeissAl</t>
  </si>
  <si>
    <t>Würtharena Neumarkt;LazzeriAl;PinieOm;AbeltinoSi;BrondiPa</t>
  </si>
  <si>
    <t>Eishalle Jesenice;LesniakBo;UnterwegerDo;ArlicMa;JavornikBl</t>
  </si>
  <si>
    <t>Eishalle Celje;BajtMi;OrelSt;EislCh;StrimitzerDa</t>
  </si>
  <si>
    <t>Eishalle Dornbirn;HolzerTo;OrelSt;StrimitzerDa;WuchererGe</t>
  </si>
  <si>
    <t>Sportpark Kitzbühel;HlavatyAl;VoicanCh;EislCh;RinkerDa</t>
  </si>
  <si>
    <t>KELIT Arena Zell am See;HolzerTo;VoicanCh;TelesklavFa;WendnerMa</t>
  </si>
  <si>
    <t>Eishalle Sterzing;BenvegnuAn;SnojTa;ArlicMa;RivisAn</t>
  </si>
  <si>
    <t>Eishalle Sissek Zibel;LesniakBo;OrelSt;ArlicMa;KnezRo</t>
  </si>
  <si>
    <t>Eishalle Jesenice;OrelSt;VoicanCh;PreiserJu;WuchererGe</t>
  </si>
  <si>
    <t>Eishalle Dornbirn;GiacomozziFe;Huber rRe;BrondiPa;DivisDo</t>
  </si>
  <si>
    <t>Eishalle Ritten;MeixnerSe;SnojTa;JeramFi;WendnerMa</t>
  </si>
  <si>
    <t>Eishalle Meran;BulovecMi;GiacomozziFe;ArlicMa;CristeliMa</t>
  </si>
  <si>
    <t>Eisarena Salzburg;LehnerMo;WidmannFl;SeewaldJe;ZacherlPa</t>
  </si>
  <si>
    <t>Eishalle Dornbirn;HolzerTo;Huber rRe;JägerRi;StrimitzerDa</t>
  </si>
  <si>
    <t>Eisarena Salzburg;LehnerMo;MoidlDa;MattheyPh;MoidlMa</t>
  </si>
  <si>
    <t>Eishalle Sterzing;LegaSi;MoschenAn;CusinFe;StrimitzerDa</t>
  </si>
  <si>
    <t>Eisarena Salzburg;Huber rRe;RuetzMa;RinkerDa;ZacherlPa</t>
  </si>
  <si>
    <t>Eishalle Sissek Zibel;SnojTa;WidmannFl;JavornikBl;WuchererGe</t>
  </si>
  <si>
    <t>Eishalle Jesenice;MetzingerFi;SnojTa;KnezRo;MarkizetiGr</t>
  </si>
  <si>
    <t>Würtharena Neumarkt;EggerTh;SnojTa;ArlicMa;BrondiPa</t>
  </si>
  <si>
    <t>Würtharena Neumarkt;LebenJa;WidmannFl;FecchioFe;TelesklavFa</t>
  </si>
  <si>
    <t>Eishalle Jesenice;LehnerMo;MeixnerSe;MattheyPh;WuchererGe</t>
  </si>
  <si>
    <t>Eishalle Dornbirn;SoraperraSi;StefenelliFe;FecchioFe;JägerRi</t>
  </si>
  <si>
    <t>Eishalle Celje;BrockAd;SnojTa;MarkizetiGr;WendnerMa</t>
  </si>
  <si>
    <t>Eishalle Gröden;EggerTh;LazzeriAl;GrisentiLu;IlmerNo</t>
  </si>
  <si>
    <t>Eisarena Salzburg;HlavatyAl;VoicanCh;PreiserJu;WeissAl</t>
  </si>
  <si>
    <t>Würtharena Neumarkt;BajtMi;LegaSi;CusinFe;PaceJa</t>
  </si>
  <si>
    <t>Eishalle Dornbirn;Huber rRe;RuetzMa;DivisDo;JägerRi</t>
  </si>
  <si>
    <t>Eishalle Sissek Zibel;BajtMi;MetzingerFi;KnezRo;MarkizetiGr</t>
  </si>
  <si>
    <t>Eisarena Salzburg;BrockAd;KainbergerJu;EislCh;WendnerMa</t>
  </si>
  <si>
    <t>Würtharena Neumarkt;MoschenAn;PinieOm;AbeltinoSi;FecchioFe</t>
  </si>
  <si>
    <t>Eishalle Sissek Zibel;BrockAd;MeixnerSe;KnezRo;WendnerMa</t>
  </si>
  <si>
    <t>Eishalle Celje;BajtMi;BulovecMi;ArlicMa;JeramFi</t>
  </si>
  <si>
    <t>Eishalle Jesenice;BrockAd;RuetzMa;RinkerDa;WendnerMa</t>
  </si>
  <si>
    <t>Eishalle Dornbirn;LazzeriAl;LegaSi;CusinFe;GrisentiLu</t>
  </si>
  <si>
    <t>Eishalle Zell am See;BenvegnuAn;HlavatyAl;AbeltinoSi;LegatKo</t>
  </si>
  <si>
    <t>Eishalle Jesenice;LesniakBo;SoraperraSi;ArlicMa;BrondiPa</t>
  </si>
  <si>
    <t>Eishalle Sissek Zibel;KainbergerJu;VoicanCh;MoidlMa;WeissAl</t>
  </si>
  <si>
    <t>Eishalle Jesenice;OrelSt;SnojTa;MarkizetiGr;WuchererGe</t>
  </si>
  <si>
    <t>Eishalle Jesenice;BulovecMi;KainbergerJu;JeramFi;TelesklavFa</t>
  </si>
  <si>
    <t>Eishalle Dornbirn;BrockAd;Huber rRe;RinkerDa;StrimitzerDa</t>
  </si>
  <si>
    <t>Eishalle Jesenice;LazzeriAl;VoicanCh;FleischmannLu;WeissAl</t>
  </si>
  <si>
    <t>Eishalle Sterzing;HolzerTo;VirtaTu;BrondiPa;FleischmannLu</t>
  </si>
  <si>
    <t>Eishalle Dornbirn;KainbergerJu;OrelSt;WuchererGe;ZacherlPa</t>
  </si>
  <si>
    <t>Eishalle Ritten;GiacomozziFe;Huber rRe;FleischmannLu;StrimitzerDa</t>
  </si>
  <si>
    <t>Eishalle Meran;BulovecMi;SnojTa;BrondiPa;JeramFi</t>
  </si>
  <si>
    <t>Eishalle Ritten;HolzerTo;KainbergerJu;FleischmannLu;RinkerDa</t>
  </si>
  <si>
    <t>KELIT Arena Zell am See;OrelSt;VoicanCh;WeissAl;WuchererGe</t>
  </si>
  <si>
    <t>Eishalle Jesenice;KainbergerJu;SnojTa;JeramFi;WuchererGe</t>
  </si>
  <si>
    <t>Eishalle Ritten;OrelSt;SnojTa;FleischmannLu;WuchererGe</t>
  </si>
  <si>
    <t>Eishalle Jesenice;KainbergerJu;VoicanCh;RinkerDa;WeissAl</t>
  </si>
  <si>
    <t>Eishalle Jesenice;BulovecMi;VoicanCh;JeramFi;WeissAl</t>
  </si>
  <si>
    <t>Eishalle Jesenice;HolzerTo;LazzeriAl;FleischmannLu;RinkerDa</t>
  </si>
  <si>
    <t>KELIT Arena Zell am See;HolzerTo;LazzeriAl;FleischmannLu;RinkerDa</t>
  </si>
  <si>
    <t>KELIT Arena Zell am See;BulovecMi;SnojTa;WeissAl;WuchererGe</t>
  </si>
  <si>
    <t>KELIT Arena Zell am See;SnojTa;VoicanCh;JeramFi;WuchererGe</t>
  </si>
  <si>
    <t>Sportpark Kitzbühel;LazzeriAl;SpiegelSe;BrondiPa;FormaioniTh</t>
  </si>
  <si>
    <t>Eisarena Salzburg;HuberRe;MeixnerSe;StrimitzerDa;TelesklavFa</t>
  </si>
  <si>
    <t>Eishalle Celje;LebenJa;WidmannFl;LegatKo;MiklicGr</t>
  </si>
  <si>
    <t>Eishalle Jesenice;LesniakBo;SnojTa;JeramFi;RinkerDa</t>
  </si>
  <si>
    <t>KELIT Arena Zell am See;HolzerTo;HuberRe;DivisDo;StrimitzerDa</t>
  </si>
  <si>
    <t>KELIT Arena Zell am See;KainbergerJu;VoicanCh;LegatKo;MoidlMa</t>
  </si>
  <si>
    <t>Eishalle Jesenice;MetzingerFi;VoicanCh;KnezRo;WendnerMa</t>
  </si>
  <si>
    <t>KELIT Arena Zell am See;BrockAd;MeixnerSe;RinkerDa;SeewaldJe</t>
  </si>
  <si>
    <t>Eishalle Meran;PiragicTr;PirasAn;CristeliMa;FecchioFe</t>
  </si>
  <si>
    <t>Eishalle Dornbirn;HuberRe;LazzeriAl;DivisDo;IlmerNo</t>
  </si>
  <si>
    <t>Eishalle Sissek Zibel;SnojTa;WidmannFl;ArlicMa;TelesklavFa</t>
  </si>
  <si>
    <t>Eishalle Ritten;EggerTh;HolzerTo;CusinFe;JägerRi</t>
  </si>
  <si>
    <t>Sportpark Kitzbühel;Huber rRe;MoschenAn;IlmerNo;StrimitzerDa</t>
  </si>
  <si>
    <t>Würtharena Neumarkt;StefenelliFe;VirtaTu;BrondiPa;PaceJa</t>
  </si>
  <si>
    <t>Eishalle Celje;MeixnerSe;OrelSt;JeramFi;WendnerMa</t>
  </si>
  <si>
    <t>Eishalle Ritten;SoraperraSi;VirtaTu;CusinFe;PaceJa</t>
  </si>
  <si>
    <t>KELIT Arena Zell am See;BrockAd;OrelSt;WendnerMa;WuchererGe</t>
  </si>
  <si>
    <t>Eishalle Ritten;EggerTh;PinieOm;PaceJa;ScalzeriAl</t>
  </si>
  <si>
    <t>Eisarena Salzburg;MoschenAn;PinieOm;PreiserJu;WendnerMa</t>
  </si>
  <si>
    <t>Eishalle Ritten;RuetzMa;SpiegelSe;EislCh;JägerRi</t>
  </si>
  <si>
    <t>Eisarena Salzburg;MeixnerSe;MoschenAn;IlmerNo;MoidlMa</t>
  </si>
  <si>
    <t>Eishalle Sterzing;GiacomozziFe;RuetzMa;BrondiPa;StrimitzerDa</t>
  </si>
  <si>
    <t>Würtharena Neumarkt;BajtMi;GiacomozziFe;JavornikBl;PaceJa</t>
  </si>
  <si>
    <t>Eishalle Sissek Zibel;LebenJa;OrelSt;MarkizetiGr;TelesklavFa</t>
  </si>
  <si>
    <t>Würtharena Neumarkt;BenvegnuAn;VirtaTu;FecchioFe;PaceJa</t>
  </si>
  <si>
    <t>Eishalle Jesenice;OrelSt;VoicanCh;LegatKo;PreiserJu</t>
  </si>
  <si>
    <t>Eishalle Gröden;BulovecMi;PinieOm;AbeltinoSi;ArlicMa</t>
  </si>
  <si>
    <t>Eishalle Celje;LesniakBo;UnterwegerDo;JeramFi;TelesklavFa</t>
  </si>
  <si>
    <t>Sportpark Kitzbühel;LazzeriAl;OrelSt;EislCh;WuchererGe</t>
  </si>
  <si>
    <t>Eishalle Celje;BulovecMi;HlavatyAl;LegatKo;TelesklavFa</t>
  </si>
  <si>
    <t>Eishalle Dornbirn;HolzerTo;Huber rRe;DivisDo;JägerRi</t>
  </si>
  <si>
    <t>Würtharena Neumarkt;EggerTh;StefenelliFe;FecchioFe;PaceJa</t>
  </si>
  <si>
    <t>Eishalle Sissek Zibel;MoschenAn;SnojTa;BrondiPa;JeramFi</t>
  </si>
  <si>
    <t>KELIT Arena Zell am See;LehnerMo;MoidlDa;SeewaldJe;ZacherlPa</t>
  </si>
  <si>
    <t>Eishalle Gröden;BenvegnuAn;LazzeriAl;FormaioniTh;RivisAn</t>
  </si>
  <si>
    <t>Eishalle Celje;BajtMi;BulovecMi;JavornikBl;MarkizetiGr</t>
  </si>
  <si>
    <t>Würtharena Neumarkt;Huber rRe;LegaSi;CusinFe;RinkerDa</t>
  </si>
  <si>
    <t>Eishalle Dornbirn;HolzerTo;Huber rRe;EislCh;StrimitzerDa</t>
  </si>
  <si>
    <t>Eishalle Sissek Zibel;MeixnerSe;VoicanCh;JeramFi;LegatKo</t>
  </si>
  <si>
    <t>KELIT Arena Zell am See;BrockAd;BulovecMi;EislCh;WuchererGe</t>
  </si>
  <si>
    <t>Würtharena Neumarkt;HolzerTo;SpiegelSe;JägerRi;RivisAn</t>
  </si>
  <si>
    <t>Eishalle Sterzing;PinieOm;StefenelliFe;BrondiPa;GrisentiLu</t>
  </si>
  <si>
    <t>Sportpark Kitzbühel;KainbergerJu;RuetzMa;AbeltinoSi;RinkerDa</t>
  </si>
  <si>
    <t>KELIT Arena Zell am See;KainbergerJu;OrelSt;DivisDo;WuchererGe</t>
  </si>
  <si>
    <t>Eishalle Gröden;BulovecMi;VirtaTu;JeramFi;PaceJa</t>
  </si>
  <si>
    <t>Würtharena Neumarkt;BenvegnuAn;GiacomozziFe;AbeltinoSi;PaceJa</t>
  </si>
  <si>
    <t>Eisarena Salzburg;HolzerTo;SpiegelSe;RinkerDa;SeewaldJe</t>
  </si>
  <si>
    <t>Eishalle Jesenice;BrockAd;WenuschHe;LegatKo;WendnerMa</t>
  </si>
  <si>
    <t>Eishalle Ritten;GiacomozziFe;PinieOm;GrisentiLu;ScalzeriAl</t>
  </si>
  <si>
    <t>Eishalle Jesenice;Huber rRe;LesniakBo;ArlicMa;StrimitzerDa</t>
  </si>
  <si>
    <t>KELIT Arena Zell am See;MeixnerSe;WidmannFl;TelesklavFa;WendnerMa</t>
  </si>
  <si>
    <t>Eishalle Ritten;EggerTh;LazzeriAl;CristeliMa;GrisentiLu</t>
  </si>
  <si>
    <t>Eishalle Jesenice;HlavatyAl;LebenJa;PreiserJu;WeissAl</t>
  </si>
  <si>
    <t>KELIT Arena Zell am See;HolzerTo;KainbergerJu;DivisDo;RinkerDa</t>
  </si>
  <si>
    <t>Eisarena Salzburg;HlavatyAl;WenuschHe;PreiserJu;WeissAl</t>
  </si>
  <si>
    <t>Eishalle Celje;LebenJa;LesniakBo;JavornikBl;KnezRo</t>
  </si>
  <si>
    <t>Eishalle Cortina;GiacomozziFe;RuetzMa;CristeliMa;StrimitzerDa</t>
  </si>
  <si>
    <t>Sportpark Kitzbühel;MoschenAn;WidmannFl;FecchioFe;TelesklavFa</t>
  </si>
  <si>
    <t>Eishalle Celje;BulovecMi;LazzeriAl;JeramFi;MarkizetiGr</t>
  </si>
  <si>
    <t>Eishalle Cortina;RivisFe;StefenelliFe;FormaioniTh;PaceJa</t>
  </si>
  <si>
    <t>Eishalle Ritten;GiacomozziFe;VirtaTu;BrondiPa;StrimitzerDa</t>
  </si>
  <si>
    <t>Eishalle Sterzing;KainbergerJu;PinieOm;BrondiPa;ZacherlPa</t>
  </si>
  <si>
    <t>Sportpark Kitzbühel;BulovecMi;GiacomozziFe;CristeliMa;JeramFi</t>
  </si>
  <si>
    <t>Eishalle Meran;PinieOm;SnojTa;CristeliMa;MarkizetiGr</t>
  </si>
  <si>
    <t>Eishalle Jesenice;HlavatyAl;VoicanCh;MarkizetiGr;WeissAl</t>
  </si>
  <si>
    <t>Eishalle Ritten;BulovecMi;LazzeriAl;BrondiPa;MarkizetiGr</t>
  </si>
  <si>
    <t>Eishalle Sterzing;HolzerTo;LazzeriAl;BrondiPa;StrimitzerDa</t>
  </si>
  <si>
    <t>KELIT Arena Zell am See;BulovecMi;HlavatyAl;MarkizetiGr;RinkerDa</t>
  </si>
  <si>
    <t>Eishalle Sterzing;HolzerTo;SnojTa;FleischmannLu;JeramFi</t>
  </si>
  <si>
    <t>KELIT Arena Zell am See;OrelSt;WidmannFl;WendnerMa;WuchererGe</t>
  </si>
  <si>
    <t>Würtharena Neumarkt;PirasAn;RivisFe;BrondiPa;GrisentiLu</t>
  </si>
  <si>
    <t>Eishalle Sissek Zibel;BajtMi;LesniakBo;ArlicMa;MarkizetiGr</t>
  </si>
  <si>
    <t>Eishalle Sissek Zibel;MetzingerFi;WidmannFl;KnezRo;TelesklavFa</t>
  </si>
  <si>
    <t>Eishalle Ritten;PinieOm;PirasAn;CusinFe;FormaioniTh</t>
  </si>
  <si>
    <t>Eishalle Sterzing;PirasAn;SoraperraSi;BrondiPa;CusinFe</t>
  </si>
  <si>
    <t>Eishalle Ritten;BenvegnuAn;MoschenAn;IlmerNo;RivisAn</t>
  </si>
  <si>
    <t>Eishalle Meran;RivisFe;SoraperraSi;FormaioniTh;GrisentiLu</t>
  </si>
  <si>
    <t>Eishalle Dornbirn;HuberRe;MoschenAn;AbeltinoSi;StrimitzerDa</t>
  </si>
  <si>
    <t>Sportpark Kitzbühel;MetzingerFi;PinieOm;GrisentiLu;KnezRo</t>
  </si>
  <si>
    <t>Eisarena Salzburg;OrelSt;VoicanCh;LegatKo;WuchererGe</t>
  </si>
  <si>
    <t>KELIT Arena Zell am See;BajtMi;MoidlDa;MiklicGr;MoidlMa</t>
  </si>
  <si>
    <t>Eishalle Jesenice;BulovecMi;KainbergerJu;SeewaldJe;ZacherlPa</t>
  </si>
  <si>
    <t>Eishalle Sterzing;MoidlDa;SpiegelSe;DivisDo;RinkerDa</t>
  </si>
  <si>
    <t>Eishalle Dornbirn;MoschenAn;RuetzMa;DivisDo;IlmerNo</t>
  </si>
  <si>
    <t>Eishalle Celje;VoicanCh;WidmannFl;PreiserJu;WuchererGe</t>
  </si>
  <si>
    <t>Eishalle Meran;LesniakBo;OrelSt;MarkizetiGr;TelesklavFa</t>
  </si>
  <si>
    <t>Eishalle Sissek Zibel;BulovecMi;SnojTa;JeramFi;MarkizetiGr</t>
  </si>
  <si>
    <t>Würtharena Neumarkt;BulovecMi;LebenJa;GrisentiLu;JeramFi</t>
  </si>
  <si>
    <t>Eishalle Gröden;EggerTh;StefenelliFe;BrondiPa;ScalzeriAl</t>
  </si>
  <si>
    <t>Eishalle Celje;BajtMi;MetzingerFi;KnezRo;MarkizetiGr</t>
  </si>
  <si>
    <t>Eishalle Meran;GiacomozziFe;KainbergerJu;EislCh;FleischmannLu</t>
  </si>
  <si>
    <t>KELIT Arena Zell am See;SnojTa;WenuschHe;PreiserJu;RinkerDa</t>
  </si>
  <si>
    <t>Eishalle Meran;GiacomozziFe;LegaSi;PaceJa;ScalzeriAl</t>
  </si>
  <si>
    <t>Eishalle Meran;LazzeriAl;StefenelliFe;AbeltinoSi;RivisAn</t>
  </si>
  <si>
    <t>Eishalle Cortina;BajtMi;MoschenAn;CristeliMa;MarkizetiGr</t>
  </si>
  <si>
    <t>Eishalle Sterzing;LazzeriAl;VirtaTu;FormaioniTh;RinkerDa</t>
  </si>
  <si>
    <t>Sportpark Kitzbühel;MetzingerFi;WenuschHe;KnezRo;LegatKo</t>
  </si>
  <si>
    <t>Eishalle Meran;EggerTh;RuetzMa;FecchioFe;ScalzeriAl</t>
  </si>
  <si>
    <t>Eishalle Cortina;EggerTh;GiacomozziFe;AbeltinoSi;CristeliMa</t>
  </si>
  <si>
    <t>Eishalle Jesenice;MeixnerSe;MetzingerFi;KnezRo;LegatKo</t>
  </si>
  <si>
    <t>Eishalle Ritten;SoraperraSi;StefenelliFe;FecchioFe;GrisentiLu</t>
  </si>
  <si>
    <t>Eishalle Zell am See;HlavatyAl;LebenJa;PreiserJu;TelesklavFa</t>
  </si>
  <si>
    <t>Eishalle Ritten;EggerTh;VirtaTu;FormaioniTh;ScalzeriAl</t>
  </si>
  <si>
    <t>Eishalle Sissek Zibel;HlavatyAl;MetzingerFi;KnezRo;LegatKo</t>
  </si>
  <si>
    <t>Eishalle Meran;PirasAn;RivisFe;FecchioFe;RivisAn</t>
  </si>
  <si>
    <t>Eishalle Sissek Zibel;LesniakBo;WidmannFl;JavornikBl;WuchererGe</t>
  </si>
  <si>
    <t>Eisarena Toblach;BenvegnuAn;PinieOm;CristeliMa;RivisAn</t>
  </si>
  <si>
    <t>KELIT Arena Zell am See;Huber rRe;RuetzMa;EislCh;ZacherlPa</t>
  </si>
  <si>
    <t>Eishalle Cortina;LazzeriAl;PirasAn;BrondiPa;CristeliMa</t>
  </si>
  <si>
    <t>Eishalle Sissek Zibel;BulovecMi;OrelSt;JeramFi;TelesklavFa</t>
  </si>
  <si>
    <t>Eishalle Dornbirn;HolzerTo;SpiegelSe;DivisDo;JägerRi</t>
  </si>
  <si>
    <t>Würtharena Neumarkt;PirasAn;VirtaTu;PaceJa;ScalzeriAl</t>
  </si>
  <si>
    <t>Eishalle Celje;BulovecMi;SnojTa;ArlicMa;JeramFi</t>
  </si>
  <si>
    <t>Eishalle Dornbirn;Huber rRe;RuetzMa;SeewaldJe;ZacherlPa</t>
  </si>
  <si>
    <t>Sportpark Kitzbühel;MoidlDa;SpiegelSe;JägerRi;RinkerDa</t>
  </si>
  <si>
    <t>Eisarena Salzburg;HolzerTo;SpiegelSe;DivisDo;JägerRi</t>
  </si>
  <si>
    <t>Eishalle Dornbirn;HolzerTo;KainbergerJu;SeewaldJe;ZacherlPa</t>
  </si>
  <si>
    <t>Eishalle Ritten;PinieOm;PirasAn;RivisAn;ScalzeriAl</t>
  </si>
  <si>
    <t>Eishalle Dornbirn;BrockAd;LazzeriAl;FleischmannLu;ZacherlPa</t>
  </si>
  <si>
    <t>KELIT Arena Zell am See;BrockAd;Huber rRe;MoidlMa;WendnerMa</t>
  </si>
  <si>
    <t>Eishalle Cortina;OrelSt;SnojTa;MarkizetiGr;WuchererGe</t>
  </si>
  <si>
    <t>KELIT Arena Zell am See;HlavatyAl;HolzerTo;MoidlMa;ZacherlPa</t>
  </si>
  <si>
    <t>Eishalle Cortina;LazzeriAl;RivisFe;MoidlMa;RinkerDa</t>
  </si>
  <si>
    <t>ZBRISANO</t>
  </si>
  <si>
    <t>Eishalle Dornbirn;RuetzMa;VirtaTu;FleischmannLu;IlmerNo</t>
  </si>
  <si>
    <t>Eishalle Ritten;BenvegnuAn;LazzeriAl;CusinFe;FormaioniTh</t>
  </si>
  <si>
    <t>Eisarena Salzburg;BrockAd;RuetzMa;WeissAl;WendnerMa</t>
  </si>
  <si>
    <t>Sportpark Kitzbühel;BrockAd;HolzerTo;SeewaldJe;WendnerMa</t>
  </si>
  <si>
    <t>Eishalle Gröden;SoraperraSi;VirtaTu;BrondiPa;ScalzeriAl</t>
  </si>
  <si>
    <t>Eishalle Cortina;PinieOm;VirtaTu;FecchioFe;FormaioniTh</t>
  </si>
  <si>
    <t>Eishalle Gröden;LebenJa;LesniakBo;ArlicMa;MarkizetiGr</t>
  </si>
  <si>
    <t>Eishalle Sterzing;LazzeriAl;PinieOm;IlmerNo;ScalzeriAl</t>
  </si>
  <si>
    <t>KELIT Arena Zell am See;BulovecMi;HlavatyAl;MarkizetiGr;PreiserJu</t>
  </si>
  <si>
    <t>Eishalle Dornbirn;RuetzMa;SpiegelSe;DivisDo;RinkerDa</t>
  </si>
  <si>
    <t>Eishalle Sissek Zibel;LesniakBo;MetzingerFi;JavornikBl;KnezRo</t>
  </si>
  <si>
    <t>Eisarena Salzburg;HolzerTo;Huber rRe;MattheyPh;RinkerDa</t>
  </si>
  <si>
    <t>Würtharena Neumarkt;MoschenAn;StefenelliFe;BrondiPa;GrisentiLu</t>
  </si>
  <si>
    <t>Eishalle Meran;LesniakBo;SnojTa;ArlicMa;StrimitzerDa</t>
  </si>
  <si>
    <t>Eishalle Sissek Zibel;BajtMi;RivisFe;JavornikBl;RivisAn</t>
  </si>
  <si>
    <t>Eishalle Dornbirn;HolzerTo;KainbergerJu;DivisDo;SeewaldJe</t>
  </si>
  <si>
    <t>Eishalle Sterzing;Huber rRe;RivisFe;FecchioFe;RivisAn</t>
  </si>
  <si>
    <t>Eishalle Ritten;MoschenAn;SpiegelSe;FecchioFe;JägerRi</t>
  </si>
  <si>
    <t>Eishalle Meran;MetzingerFi;PirasAn;FecchioFe;KnezRo</t>
  </si>
  <si>
    <t>Eishalle Ritten;EggerTh;LazzeriAl;GrisentiLu;ScalzeriAl</t>
  </si>
  <si>
    <t>Eishalle Gröden;LehnerMo;MoidlDa;BrondiPa;MoidlMa</t>
  </si>
  <si>
    <t>Eishalle Sterzing;EggerTh;GiacomozziFe;AbeltinoSi;PaceJa</t>
  </si>
  <si>
    <t>Eishalle Dornbirn;RuetzMa;SpiegelSe;DivisDo;JägerRi</t>
  </si>
  <si>
    <t>Eishalle Cortina;LegaSi;PinieOm;CristeliMa;CusinFe</t>
  </si>
  <si>
    <t>Eishalle Zell am See;HlavatyAl;UnterwegerDo;LegatKo;SeewaldJe</t>
  </si>
  <si>
    <t>Eishalle Cortina;RivisFe;SoraperraSi;GrisentiLu;ScalzeriAl</t>
  </si>
  <si>
    <t>Eishalle Cortina;GiacomozziFe;PirasAn;CristeliMa;FleischmannLu</t>
  </si>
  <si>
    <t>Eishalle Sissek Zibel;BrockAd;LebenJa;JeramFi;KnezRo</t>
  </si>
  <si>
    <t>Sportpark Kitzbühel;RuetzMa;SpiegelSe;JägerRi;StrimitzerDa</t>
  </si>
  <si>
    <t>Sportpark Kitzbühel;LazzeriAl;WidmannFl;SeewaldJe;WuchererGe</t>
  </si>
  <si>
    <t>Eishalle Gröden;RivisFe;SoraperraSi;AbeltinoSi;PaceJa</t>
  </si>
  <si>
    <t>Eishalle Meran;LebenJa;LesniakBo;FecchioFe;JeramFi</t>
  </si>
  <si>
    <t>Eishalle Gröden;LegaSi;SpiegelSe;CusinFe;DivisDo</t>
  </si>
  <si>
    <t>Eishalle Sterzing;LegaSi;MoschenAn;CusinFe;RivisAn</t>
  </si>
  <si>
    <t>Eishalle Sterzing;MoschenAn;PirasAn;AbeltinoSi;FormaioniTh</t>
  </si>
  <si>
    <t>Sportpark Kitzbühel;LehnerMo;MetzingerFi;MoidlMa;WeissAl</t>
  </si>
  <si>
    <t>Eishalle Ritten;BenvegnuAn;SoraperraSi;FecchioFe;IlmerNo</t>
  </si>
  <si>
    <t>Eishalle Sterzing;GiacomozziFe;PinieOm;BrondiPa;RivisAn</t>
  </si>
  <si>
    <t>Eishalle Sterzing;BenvegnuAn;StefenelliFe;FleischmannLu;IlmerNo</t>
  </si>
  <si>
    <t>Eishalle Gröden;LazzeriAl;PinieOm;AbeltinoSi;CristeliMa</t>
  </si>
  <si>
    <t>Eishalle Sterzing;KainbergerJu;PinieOm;CristeliMa;StrimitzerDa</t>
  </si>
  <si>
    <t>Eishalle Dornbirn;Huber rRe;OrelSt;StrimitzerDa;WuchererGe</t>
  </si>
  <si>
    <t>Eishalle Sterzing;HlavatyAl;VirtaTu;RinkerDa;WeissAl</t>
  </si>
  <si>
    <t>KELIT Arena Zell am See;BajtMi;LebenJa;SeewaldJe;StrimitzerDa</t>
  </si>
  <si>
    <t>Eishalle Sterzing;HlavatyAl;VoicanCh;MoidlMa;WeissAl</t>
  </si>
  <si>
    <t>Sportpark Kitzbühel;HlavatyAl;VoicanCh;PaceJa;WeissAl</t>
  </si>
  <si>
    <t>Eishalle Meran;LazzeriAl;RivisFe;CristeliMa;FleischmannLu</t>
  </si>
  <si>
    <t>Eishalle Ritten;PinieOm;VirtaTu;BrondiPa;RinkerDa</t>
  </si>
  <si>
    <t>Eishalle Meran;MoschenAn;SnojTa;MarkizetiGr;RivisAn</t>
  </si>
  <si>
    <t>Eishalle Gröden;HolzerTo;PinieOm;DivisDo;FecchioFe</t>
  </si>
  <si>
    <t>Eishalle Ritten;BenvegnuAn;GiacomozziFe;AbeltinoSi;FecchioFe</t>
  </si>
  <si>
    <t>Eishalle Meran;StefenelliFe;VirtaTu;GrisentiLu;StrimitzerDa</t>
  </si>
  <si>
    <t>Eishalle Cortina;BulovecMi;RivisFe;ArlicMa;IlmerNo</t>
  </si>
  <si>
    <t>Eishalle Meran;LazzeriAl;SnojTa;JeramFi;WuchererGe</t>
  </si>
  <si>
    <t>Eishalle Dornbirn;GiacomozziFe;RivisFe;AbeltinoSi;DivisDo</t>
  </si>
  <si>
    <t>Würtharena Neumarkt;RivisFe;SoraperraSi;AbeltinoSi;CristeliMa</t>
  </si>
  <si>
    <t>Eishalle Gröden;EggerTh;LazzeriAl;CusinFe;FormaioniTh</t>
  </si>
  <si>
    <t>Eishalle Cortina;LebenJa;PirasAn;AbeltinoSi;CristeliMa</t>
  </si>
  <si>
    <t>Eishalle Jesenice;VirtaTu;WidmannFl;PaceJa;TelesklavFa</t>
  </si>
  <si>
    <t>Eisarena Salzburg;LehnerMo;OrelSt;EislCh;StrimitzerDa</t>
  </si>
  <si>
    <t>KELIT Arena Zell am See;LehnerMo;MoidlDa;MattheyPh;MoidlMa</t>
  </si>
  <si>
    <t>Eishalle Cortina;GiacomozziFe;SoraperraSi;BrondiPa;FormaioniTh</t>
  </si>
  <si>
    <t>Eishalle Meran;StefenelliFe;VirtaTu;CristeliMa;PaceJa</t>
  </si>
  <si>
    <t>Eishalle Cortina;LegaSi;VirtaTu;CristeliMa;RivisAn</t>
  </si>
  <si>
    <t>Eishalle Cortina;LebenJa;PirasAn;GrisentiLu;JavornikBl</t>
  </si>
  <si>
    <t>KELIT Arena Zell am See;BajtMi;HolzerTo;JavornikBl;StrimitzerDa</t>
  </si>
  <si>
    <t>Eishalle Gröden;PirasAn;VirtaTu;FecchioFe;GrisentiLu</t>
  </si>
  <si>
    <t>Eishalle Meran;BenvegnuAn;RuetzMa;CusinFe;RivisAn</t>
  </si>
  <si>
    <t>Würtharena Neumarkt;RivisFe;SpiegelSe;BrondiPa;DivisDo</t>
  </si>
  <si>
    <t>Eishalle Celje;HlavatyAl;KainbergerJu;PreiserJu;ScalzeriAl</t>
  </si>
  <si>
    <t>Eishalle Cortina;LazzeriAl;OrelSt;PaceJa;TelesklavFa</t>
  </si>
  <si>
    <t>Eishalle Cortina;Huber rRe;VirtaTu;FormaioniTh;ScalzeriAl</t>
  </si>
  <si>
    <t>Eishalle Meran;RivisFe;StefenelliFe;FleischmannLu;RivisAn</t>
  </si>
  <si>
    <t>Eishalle Meran;LegaSi;StefenelliFe;CusinFe;FormaioniTh</t>
  </si>
  <si>
    <t>Sportpark Kitzbühel;MeixnerSe;RuetzMa;MoidlMa;StrimitzerDa</t>
  </si>
  <si>
    <t>Eishalle Gröden;LegaSi;SoraperraSi;FormaioniTh;PaceJa</t>
  </si>
  <si>
    <t>Eishalle Cortina;PirasAn;SnojTa;BrondiPa;JeramFi</t>
  </si>
  <si>
    <t>Eishalle Ritten;VirtaTu;WidmannFl;BrondiPa;WuchererGe</t>
  </si>
  <si>
    <t>Sportpark Kitzbühel;BulovecMi;KainbergerJu;JeramFi;SeewaldJe</t>
  </si>
  <si>
    <t>Eishalle Meran;BulovecMi;LazzeriAl;CristeliMa;JeramFi</t>
  </si>
  <si>
    <t>Eishalle Gröden;HolzerTo;VirtaTu;DivisDo;FleischmannLu</t>
  </si>
  <si>
    <t>Eishalle Celje;LebenJa;OrelSt;MarkizetiGr;PuffWo</t>
  </si>
  <si>
    <t>Würtharena Neumarkt;LegaSi;RuetzMa;BrondiPa;GrisentiLu</t>
  </si>
  <si>
    <t>Eishalle Dornbirn;HolzerTo;SpiegelSe;MattheyPh;MoidlMa</t>
  </si>
  <si>
    <t>Eishalle Celje;HlavatyAl;WidmannFl;ArlicMa;WuchererGe</t>
  </si>
  <si>
    <t>Eishalle Gröden;PirasAn;SoraperraSi;FormaioniTh;ScalzeriAl</t>
  </si>
  <si>
    <t>Eishalle Gröden;MoschenAn;VirtaTu;FleischmannLu;FormaioniTh</t>
  </si>
  <si>
    <t>Eishalle Cortina;LebenJa;MoschenAn;CristeliMa;JeramFi</t>
  </si>
  <si>
    <t>Sportpark Kitzbühel;KainbergerJu;VoicanCh;PreiserJu;SeewaldJe</t>
  </si>
  <si>
    <t>Eishalle Gröden;Huber rRe;MoschenAn;RinkerDa;StrimitzerDa</t>
  </si>
  <si>
    <t>Eishalle Cortina;LesniakBo;OrelSt;JavornikBl;TelesklavFa</t>
  </si>
  <si>
    <t>Eishalle Meran;GiacomozziFe;SoraperraSi;GrisentiLu;RivisAn</t>
  </si>
  <si>
    <t>Würtharena Neumarkt;BenvegnuAn;StefenelliFe;PaceJa;ScalzeriAl</t>
  </si>
  <si>
    <t>Eishalle Meran;MoschenAn;RivisFe;FecchioFe;FormaioniTh</t>
  </si>
  <si>
    <t>vse delegirane tekme</t>
  </si>
  <si>
    <t>vse delegacije</t>
  </si>
  <si>
    <t>Procenti delegacij</t>
  </si>
  <si>
    <t>slo</t>
  </si>
  <si>
    <t>-</t>
  </si>
  <si>
    <t>No. Teams</t>
  </si>
  <si>
    <t>% per team</t>
  </si>
  <si>
    <t>Actual %</t>
  </si>
  <si>
    <t>Expected assignments</t>
  </si>
  <si>
    <t>Actual assignments</t>
  </si>
  <si>
    <t>Difference</t>
  </si>
  <si>
    <t>Difference in games</t>
  </si>
  <si>
    <t>Slo</t>
  </si>
  <si>
    <t>trainees</t>
  </si>
  <si>
    <t>It</t>
  </si>
  <si>
    <t>kotrola</t>
  </si>
  <si>
    <t>Aut</t>
  </si>
  <si>
    <t>kontrola</t>
  </si>
  <si>
    <t>till 30.1.2025</t>
  </si>
  <si>
    <t>% games per team</t>
  </si>
  <si>
    <t>odštete delegacije traineesov</t>
  </si>
  <si>
    <t>trainnees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</si>
</sst>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0006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7" borderId="10" xfId="0" applyFill="1" applyBorder="1"/>
    <xf numFmtId="0" fontId="0" fillId="7" borderId="10" xfId="0" applyFill="1" applyBorder="1" applyAlignment="1">
      <alignment horizontal="center"/>
    </xf>
    <xf numFmtId="10" fontId="0" fillId="7" borderId="11" xfId="0" applyNumberFormat="1" applyFill="1" applyBorder="1" applyAlignment="1">
      <alignment horizontal="center"/>
    </xf>
    <xf numFmtId="10" fontId="0" fillId="7" borderId="1" xfId="0" applyNumberFormat="1" applyFill="1" applyBorder="1"/>
    <xf numFmtId="1" fontId="0" fillId="8" borderId="10" xfId="0" applyNumberFormat="1" applyFill="1" applyBorder="1"/>
    <xf numFmtId="1" fontId="2" fillId="9" borderId="10" xfId="0" applyNumberFormat="1" applyFont="1" applyFill="1" applyBorder="1"/>
    <xf numFmtId="2" fontId="0" fillId="0" borderId="0" xfId="0" applyNumberFormat="1"/>
    <xf numFmtId="0" fontId="0" fillId="0" borderId="12" xfId="0" applyBorder="1"/>
    <xf numFmtId="0" fontId="0" fillId="0" borderId="13" xfId="0" applyBorder="1"/>
    <xf numFmtId="0" fontId="0" fillId="10" borderId="10" xfId="0" applyFill="1" applyBorder="1"/>
    <xf numFmtId="0" fontId="0" fillId="10" borderId="10" xfId="0" applyFill="1" applyBorder="1" applyAlignment="1">
      <alignment horizontal="center"/>
    </xf>
    <xf numFmtId="10" fontId="0" fillId="10" borderId="11" xfId="0" applyNumberFormat="1" applyFill="1" applyBorder="1" applyAlignment="1">
      <alignment horizontal="center"/>
    </xf>
    <xf numFmtId="10" fontId="0" fillId="10" borderId="14" xfId="0" applyNumberFormat="1" applyFill="1" applyBorder="1"/>
    <xf numFmtId="0" fontId="0" fillId="0" borderId="15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0" borderId="16" xfId="0" applyNumberFormat="1" applyBorder="1"/>
    <xf numFmtId="1" fontId="3" fillId="11" borderId="10" xfId="0" applyNumberFormat="1" applyFont="1" applyFill="1" applyBorder="1"/>
    <xf numFmtId="0" fontId="0" fillId="0" borderId="11" xfId="0" applyBorder="1" applyAlignment="1">
      <alignment horizontal="right"/>
    </xf>
    <xf numFmtId="2" fontId="0" fillId="0" borderId="17" xfId="0" applyNumberFormat="1" applyBorder="1"/>
    <xf numFmtId="1" fontId="0" fillId="0" borderId="17" xfId="0" applyNumberFormat="1" applyBorder="1"/>
    <xf numFmtId="2" fontId="0" fillId="0" borderId="10" xfId="0" applyNumberFormat="1" applyBorder="1"/>
    <xf numFmtId="0" fontId="4" fillId="0" borderId="0" xfId="0" applyFont="1"/>
    <xf numFmtId="0" fontId="0" fillId="10" borderId="6" xfId="0" applyFill="1" applyBorder="1"/>
    <xf numFmtId="0" fontId="0" fillId="10" borderId="18" xfId="0" applyFill="1" applyBorder="1" applyAlignment="1">
      <alignment horizontal="center"/>
    </xf>
    <xf numFmtId="10" fontId="0" fillId="10" borderId="18" xfId="0" applyNumberFormat="1" applyFill="1" applyBorder="1" applyAlignment="1">
      <alignment horizontal="center"/>
    </xf>
    <xf numFmtId="10" fontId="0" fillId="10" borderId="18" xfId="0" applyNumberFormat="1" applyFill="1" applyBorder="1"/>
    <xf numFmtId="1" fontId="4" fillId="10" borderId="18" xfId="0" applyNumberFormat="1" applyFont="1" applyFill="1" applyBorder="1" applyAlignment="1">
      <alignment horizontal="center"/>
    </xf>
    <xf numFmtId="0" fontId="4" fillId="10" borderId="18" xfId="0" applyFont="1" applyFill="1" applyBorder="1" applyAlignment="1">
      <alignment horizontal="center"/>
    </xf>
    <xf numFmtId="1" fontId="2" fillId="9" borderId="7" xfId="0" applyNumberFormat="1" applyFont="1" applyFill="1" applyBorder="1" applyAlignment="1">
      <alignment horizontal="center"/>
    </xf>
    <xf numFmtId="0" fontId="0" fillId="4" borderId="8" xfId="0" applyFill="1" applyBorder="1"/>
    <xf numFmtId="0" fontId="0" fillId="4" borderId="10" xfId="0" applyFill="1" applyBorder="1" applyAlignment="1">
      <alignment horizontal="center"/>
    </xf>
    <xf numFmtId="10" fontId="0" fillId="4" borderId="10" xfId="0" applyNumberFormat="1" applyFill="1" applyBorder="1" applyAlignment="1">
      <alignment horizontal="center"/>
    </xf>
    <xf numFmtId="10" fontId="0" fillId="4" borderId="10" xfId="0" applyNumberFormat="1" applyFill="1" applyBorder="1"/>
    <xf numFmtId="1" fontId="4" fillId="4" borderId="10" xfId="0" applyNumberFormat="1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1" fontId="2" fillId="9" borderId="9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12" borderId="12" xfId="0" applyFill="1" applyBorder="1"/>
    <xf numFmtId="0" fontId="0" fillId="12" borderId="19" xfId="0" applyFill="1" applyBorder="1" applyAlignment="1">
      <alignment horizontal="center"/>
    </xf>
    <xf numFmtId="10" fontId="0" fillId="12" borderId="19" xfId="0" applyNumberFormat="1" applyFill="1" applyBorder="1" applyAlignment="1">
      <alignment horizontal="center"/>
    </xf>
    <xf numFmtId="10" fontId="0" fillId="12" borderId="19" xfId="0" applyNumberFormat="1" applyFill="1" applyBorder="1"/>
    <xf numFmtId="1" fontId="4" fillId="12" borderId="19" xfId="0" applyNumberFormat="1" applyFont="1" applyFill="1" applyBorder="1" applyAlignment="1">
      <alignment horizontal="center"/>
    </xf>
    <xf numFmtId="0" fontId="4" fillId="12" borderId="19" xfId="0" applyFont="1" applyFill="1" applyBorder="1" applyAlignment="1">
      <alignment horizontal="center"/>
    </xf>
    <xf numFmtId="1" fontId="3" fillId="11" borderId="13" xfId="0" applyNumberFormat="1" applyFont="1" applyFill="1" applyBorder="1" applyAlignment="1">
      <alignment horizontal="center"/>
    </xf>
    <xf numFmtId="9" fontId="0" fillId="6" borderId="0" xfId="0" applyNumberFormat="1" applyFill="1"/>
    <xf numFmtId="0" fontId="4" fillId="6" borderId="0" xfId="0" applyFont="1" applyFill="1"/>
    <xf numFmtId="1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"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3"/>
  <sheetViews>
    <sheetView tabSelected="1" zoomScaleNormal="100" workbookViewId="0">
      <selection activeCell="AC35" sqref="AC35"/>
    </sheetView>
  </sheetViews>
  <sheetFormatPr defaultRowHeight="14.45" customHeight="1" x14ac:dyDescent="0.25"/>
  <cols>
    <col min="1" max="1" width="14.42578125" customWidth="1"/>
    <col min="2" max="2" width="12.85546875" customWidth="1"/>
    <col min="3" max="3" width="13.28515625" customWidth="1"/>
    <col min="4" max="4" width="11" customWidth="1"/>
    <col min="5" max="5" width="11.140625" customWidth="1"/>
    <col min="6" max="6" width="11" customWidth="1"/>
    <col min="7" max="7" width="11.7109375" customWidth="1"/>
    <col min="8" max="8" width="10.5703125" customWidth="1"/>
    <col min="9" max="9" width="12.140625" customWidth="1"/>
    <col min="10" max="10" width="13.42578125" customWidth="1"/>
    <col min="11" max="11" width="10.28515625" customWidth="1"/>
    <col min="12" max="12" width="13.5703125" customWidth="1"/>
    <col min="13" max="13" width="10.140625" customWidth="1"/>
    <col min="14" max="14" width="13" customWidth="1"/>
    <col min="15" max="15" width="12.5703125" customWidth="1"/>
    <col min="16" max="16" width="11.140625" customWidth="1"/>
    <col min="17" max="17" width="13.28515625" customWidth="1"/>
    <col min="18" max="18" width="10.7109375" customWidth="1"/>
    <col min="19" max="19" width="14.140625" customWidth="1"/>
    <col min="20" max="20" width="16.85546875" customWidth="1"/>
    <col min="21" max="21" width="11.7109375" customWidth="1"/>
    <col min="22" max="22" width="10.7109375" customWidth="1"/>
    <col min="23" max="23" width="11.85546875" customWidth="1"/>
    <col min="24" max="24" width="17.28515625" customWidth="1"/>
    <col min="25" max="25" width="11.7109375" customWidth="1"/>
    <col min="26" max="26" width="10.28515625" customWidth="1"/>
    <col min="27" max="27" width="14.5703125" customWidth="1"/>
    <col min="28" max="28" width="10.42578125" customWidth="1"/>
    <col min="29" max="29" width="11.28515625" customWidth="1"/>
    <col min="30" max="30" width="15.140625" customWidth="1"/>
    <col min="31" max="31" width="11.42578125" customWidth="1"/>
    <col min="32" max="32" width="13.28515625" customWidth="1"/>
    <col min="33" max="33" width="10.5703125" customWidth="1"/>
    <col min="35" max="35" width="12.5703125" customWidth="1"/>
    <col min="36" max="36" width="14.5703125" customWidth="1"/>
    <col min="37" max="37" width="11.85546875" customWidth="1"/>
    <col min="38" max="38" width="10.85546875" customWidth="1"/>
    <col min="39" max="39" width="10.42578125" customWidth="1"/>
    <col min="40" max="40" width="13.42578125" customWidth="1"/>
    <col min="41" max="41" width="10.28515625" customWidth="1"/>
    <col min="42" max="42" width="12.42578125" customWidth="1"/>
    <col min="43" max="43" width="11.28515625" customWidth="1"/>
    <col min="44" max="44" width="12.5703125" customWidth="1"/>
    <col min="45" max="45" width="11.42578125" customWidth="1"/>
    <col min="46" max="46" width="11.7109375" customWidth="1"/>
    <col min="47" max="47" width="14.42578125" customWidth="1"/>
    <col min="48" max="48" width="12.5703125" customWidth="1"/>
    <col min="49" max="49" width="11.85546875" customWidth="1"/>
    <col min="50" max="50" width="11.42578125" customWidth="1"/>
    <col min="51" max="51" width="11.28515625" customWidth="1"/>
    <col min="52" max="52" width="11.140625" customWidth="1"/>
    <col min="53" max="53" width="11" customWidth="1"/>
    <col min="54" max="54" width="13.28515625" customWidth="1"/>
    <col min="55" max="55" width="12.5703125" customWidth="1"/>
    <col min="56" max="56" width="12" customWidth="1"/>
    <col min="57" max="57" width="10.7109375" customWidth="1"/>
    <col min="58" max="58" width="10.140625" customWidth="1"/>
    <col min="59" max="59" width="11.7109375" customWidth="1"/>
    <col min="60" max="60" width="14.28515625" customWidth="1"/>
    <col min="61" max="61" width="11.7109375" customWidth="1"/>
    <col min="62" max="62" width="11.42578125" customWidth="1"/>
    <col min="63" max="63" width="11" customWidth="1"/>
    <col min="64" max="64" width="11.85546875" customWidth="1"/>
    <col min="65" max="65" width="15.5703125" customWidth="1"/>
    <col min="66" max="66" width="11.85546875" customWidth="1"/>
    <col min="67" max="67" width="11.28515625" customWidth="1"/>
    <col min="68" max="68" width="10.5703125" customWidth="1"/>
    <col min="69" max="69" width="11.140625" customWidth="1"/>
    <col min="73" max="73" width="13.5703125" customWidth="1"/>
  </cols>
  <sheetData>
    <row r="1" spans="1:69" ht="14.45" customHeight="1" x14ac:dyDescent="0.25">
      <c r="A1">
        <f>COUNTIF(A4:A69,"&lt;&gt;")</f>
        <v>28</v>
      </c>
      <c r="B1">
        <f>COUNTIF(B4:B64,"&lt;&gt;")</f>
        <v>17</v>
      </c>
      <c r="C1">
        <f>COUNTIF(C4:C67,"&lt;&gt;")</f>
        <v>27</v>
      </c>
      <c r="D1">
        <f>COUNTIF(D4:D67,"&lt;&gt;")</f>
        <v>20</v>
      </c>
      <c r="E1">
        <f>COUNTIF(E4:E66,"&lt;&gt;")</f>
        <v>24</v>
      </c>
      <c r="F1">
        <f>COUNTIF(F4:F67,"&lt;&gt;")</f>
        <v>16</v>
      </c>
      <c r="G1">
        <f>COUNTIF(G4:G68,"&lt;&gt;")</f>
        <v>4</v>
      </c>
      <c r="H1">
        <f>COUNTIF(H4:H68,"&lt;&gt;")</f>
        <v>17</v>
      </c>
      <c r="I1">
        <f>COUNTIF(I4:I68,"&lt;&gt;")</f>
        <v>29</v>
      </c>
      <c r="J1">
        <f>COUNTIF(J4:J64,"&lt;&gt;")</f>
        <v>12</v>
      </c>
      <c r="K1">
        <f>COUNTIF(K4:K70,"&lt;&gt;")</f>
        <v>15</v>
      </c>
      <c r="L1">
        <f>COUNTIF(L4:L69,"&lt;&gt;")</f>
        <v>17</v>
      </c>
      <c r="M1">
        <f>COUNTIF(M4:M70,"&lt;&gt;")</f>
        <v>1</v>
      </c>
      <c r="N1">
        <f>COUNTIF(N4:N65,"&lt;&gt;")</f>
        <v>19</v>
      </c>
      <c r="O1">
        <f>COUNTIF(O4:O66,"&lt;&gt;")</f>
        <v>19</v>
      </c>
      <c r="P1">
        <f t="shared" ref="P1:Z1" si="0">COUNTIF(P4:P70,"&lt;&gt;")</f>
        <v>23</v>
      </c>
      <c r="Q1">
        <f>COUNTIF(Q4:Q66,"&lt;&gt;")</f>
        <v>21</v>
      </c>
      <c r="R1">
        <f>COUNTIF(R4:R63,"&lt;&gt;")</f>
        <v>33</v>
      </c>
      <c r="S1">
        <f>COUNTIF(S4:S69,"&lt;&gt;")</f>
        <v>32</v>
      </c>
      <c r="T1">
        <f>COUNTIF(T4:T68,"&lt;&gt;")</f>
        <v>20</v>
      </c>
      <c r="U1">
        <f>COUNTIF(U4:U69,"&lt;&gt;")</f>
        <v>24</v>
      </c>
      <c r="V1">
        <f>COUNTIF(V4:V66,"&lt;&gt;")</f>
        <v>21</v>
      </c>
      <c r="W1">
        <f>COUNTIF(W4:W68,"&lt;&gt;")</f>
        <v>25</v>
      </c>
      <c r="X1">
        <f>COUNTIF(X4:X68,"&lt;&gt;")</f>
        <v>17</v>
      </c>
      <c r="Y1">
        <f>COUNTIF(Y4:Y68,"&lt;&gt;")</f>
        <v>12</v>
      </c>
      <c r="Z1">
        <f t="shared" si="0"/>
        <v>21</v>
      </c>
      <c r="AA1">
        <f>COUNTIF(AA4:AA65,"&lt;&gt;")</f>
        <v>19</v>
      </c>
      <c r="AB1">
        <f>COUNTIF(AB4:AB65,"&lt;&gt;")</f>
        <v>22</v>
      </c>
      <c r="AC1">
        <f>COUNTIF(AC4:AC68,"&lt;&gt;")</f>
        <v>20</v>
      </c>
      <c r="AD1">
        <f>COUNTIF(AD4:AD66,"&lt;&gt;")</f>
        <v>17</v>
      </c>
      <c r="AE1">
        <f>COUNTIF(AE4:AE67,"&lt;&gt;")</f>
        <v>17</v>
      </c>
      <c r="AF1">
        <f>COUNTIF(AF4:AF63,"&lt;&gt;")</f>
        <v>17</v>
      </c>
      <c r="AG1">
        <f>COUNTIF(AG4:AG65,"&lt;&gt;")</f>
        <v>22</v>
      </c>
      <c r="AH1">
        <f>COUNTIF(AH4:AH65,"&lt;&gt;")</f>
        <v>21</v>
      </c>
      <c r="AI1">
        <f>COUNTIF(AI4:AI66,"&lt;&gt;")</f>
        <v>13</v>
      </c>
      <c r="AJ1">
        <f>COUNTIF(AJ4:AJ61,"&lt;&gt;")</f>
        <v>14</v>
      </c>
      <c r="AK1">
        <f>COUNTIF(AK4:AK63,"&lt;&gt;")</f>
        <v>25</v>
      </c>
      <c r="AL1">
        <f>COUNTIF(AL4:AL65,"&lt;&gt;")</f>
        <v>24</v>
      </c>
      <c r="AM1">
        <f>COUNTIF(AM4:AM64,"&lt;&gt;")</f>
        <v>21</v>
      </c>
      <c r="AN1">
        <f>COUNTIF(AN4:AN63,"&lt;&gt;")</f>
        <v>29</v>
      </c>
      <c r="AO1">
        <f>COUNTIF(AO4:AO64,"&lt;&gt;")</f>
        <v>24</v>
      </c>
      <c r="AP1">
        <f>COUNTIF(AP4:AP66,"&lt;&gt;")</f>
        <v>18</v>
      </c>
      <c r="AQ1">
        <f>COUNTIF(AQ4:AQ67,"&lt;&gt;")</f>
        <v>17</v>
      </c>
      <c r="AR1">
        <f>COUNTIF(AR4:AR60,"&lt;&gt;")</f>
        <v>27</v>
      </c>
      <c r="AS1">
        <f>COUNTIF(AS4:AS68,"&lt;&gt;")</f>
        <v>18</v>
      </c>
      <c r="AT1">
        <f>COUNTIF(AT4:AT67,"&lt;&gt;")</f>
        <v>24</v>
      </c>
      <c r="AU1">
        <f>COUNTIF(AU4:AU67,"&lt;&gt;")</f>
        <v>23</v>
      </c>
      <c r="AV1">
        <f>COUNTIF(AV4:AV64,"&lt;&gt;")</f>
        <v>16</v>
      </c>
      <c r="AW1">
        <f>COUNTIF(AW4:AW64,"&lt;&gt;")</f>
        <v>19</v>
      </c>
      <c r="AX1">
        <f>COUNTIF(AX4:AX65,"&lt;&gt;")</f>
        <v>30</v>
      </c>
      <c r="AY1">
        <f>COUNTIF(AY4:AY60,"&lt;&gt;")</f>
        <v>17</v>
      </c>
      <c r="AZ1">
        <f>COUNTIF(AZ4:AZ63,"&lt;&gt;")</f>
        <v>28</v>
      </c>
      <c r="BA1">
        <f>COUNTIF(BA4:BA68,"&lt;&gt;")</f>
        <v>31</v>
      </c>
      <c r="BB1">
        <f>COUNTIF(BB4:BB68,"&lt;&gt;")</f>
        <v>23</v>
      </c>
      <c r="BC1">
        <f>COUNTIF(BC4:BC67,"&lt;&gt;")</f>
        <v>19</v>
      </c>
      <c r="BD1">
        <f>COUNTIF(BD4:BD67,"&lt;&gt;")</f>
        <v>21</v>
      </c>
      <c r="BE1">
        <f>COUNTIF(BE4:BE67,"&lt;&gt;")</f>
        <v>18</v>
      </c>
      <c r="BF1">
        <f>COUNTIF(BF4:BF66,"&lt;&gt;")</f>
        <v>14</v>
      </c>
      <c r="BG1">
        <f>COUNTIF(BG4:BG68,"&lt;&gt;")</f>
        <v>14</v>
      </c>
      <c r="BH1">
        <f>COUNTIF(BH4:BH61,"&lt;&gt;")</f>
        <v>18</v>
      </c>
      <c r="BI1">
        <f>COUNTIF(BI4:BI68,"&lt;&gt;")</f>
        <v>8</v>
      </c>
      <c r="BJ1">
        <f t="shared" ref="BJ1:BQ1" si="1">COUNTIF(BJ4:BJ70,"&lt;&gt;")</f>
        <v>1</v>
      </c>
      <c r="BK1">
        <f>COUNTIF(BK4:BK67,"&lt;&gt;")</f>
        <v>9</v>
      </c>
      <c r="BL1">
        <f>COUNTIF(BL4:BL65,"&lt;&gt;")</f>
        <v>17</v>
      </c>
      <c r="BM1">
        <f t="shared" si="1"/>
        <v>1</v>
      </c>
      <c r="BN1">
        <f>COUNTIF(BN4:BN68,"&lt;&gt;")</f>
        <v>13</v>
      </c>
      <c r="BO1">
        <f>COUNTIF(BO4:BO69,"&lt;&gt;")</f>
        <v>8</v>
      </c>
      <c r="BP1">
        <f>COUNTIF(BP4:BP68,"&lt;&gt;")</f>
        <v>10</v>
      </c>
      <c r="BQ1">
        <f t="shared" si="1"/>
        <v>3</v>
      </c>
    </row>
    <row r="2" spans="1:69" ht="14.45" customHeight="1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2" t="s">
        <v>1</v>
      </c>
      <c r="L2" s="2" t="s">
        <v>1</v>
      </c>
      <c r="M2" s="2" t="s">
        <v>1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3" t="s">
        <v>2</v>
      </c>
      <c r="Y2" s="3" t="s">
        <v>2</v>
      </c>
      <c r="Z2" s="3" t="s">
        <v>2</v>
      </c>
      <c r="AA2" s="3" t="s">
        <v>2</v>
      </c>
      <c r="AB2" s="3" t="s">
        <v>2</v>
      </c>
      <c r="AC2" s="3" t="s">
        <v>2</v>
      </c>
      <c r="AD2" s="3" t="s">
        <v>2</v>
      </c>
      <c r="AE2" s="3" t="s">
        <v>2</v>
      </c>
      <c r="AF2" s="3" t="s">
        <v>2</v>
      </c>
      <c r="AG2" s="3" t="s">
        <v>2</v>
      </c>
      <c r="AH2" s="4" t="s">
        <v>2</v>
      </c>
      <c r="AI2" s="4" t="s">
        <v>2</v>
      </c>
      <c r="AJ2" s="4" t="s">
        <v>2</v>
      </c>
      <c r="AK2" s="4" t="s">
        <v>2</v>
      </c>
      <c r="AL2" s="5" t="s">
        <v>3</v>
      </c>
      <c r="AM2" s="5" t="s">
        <v>3</v>
      </c>
      <c r="AN2" s="5" t="s">
        <v>3</v>
      </c>
      <c r="AO2" s="5" t="s">
        <v>3</v>
      </c>
      <c r="AP2" s="5" t="s">
        <v>3</v>
      </c>
      <c r="AQ2" s="5" t="s">
        <v>3</v>
      </c>
      <c r="AR2" s="5" t="s">
        <v>3</v>
      </c>
      <c r="AS2" s="5" t="s">
        <v>3</v>
      </c>
      <c r="AT2" s="5" t="s">
        <v>3</v>
      </c>
      <c r="AU2" s="5" t="s">
        <v>3</v>
      </c>
      <c r="AV2" s="5" t="s">
        <v>3</v>
      </c>
      <c r="AW2" s="5" t="s">
        <v>3</v>
      </c>
      <c r="AX2" s="5" t="s">
        <v>3</v>
      </c>
      <c r="AY2" s="5" t="s">
        <v>3</v>
      </c>
      <c r="AZ2" s="5" t="s">
        <v>3</v>
      </c>
      <c r="BA2" s="5" t="s">
        <v>3</v>
      </c>
      <c r="BB2" s="5" t="s">
        <v>3</v>
      </c>
      <c r="BC2" s="5" t="s">
        <v>3</v>
      </c>
      <c r="BD2" s="5" t="s">
        <v>3</v>
      </c>
      <c r="BE2" s="5" t="s">
        <v>3</v>
      </c>
      <c r="BF2" s="5" t="s">
        <v>3</v>
      </c>
      <c r="BG2" s="5" t="s">
        <v>3</v>
      </c>
      <c r="BH2" s="5" t="s">
        <v>3</v>
      </c>
      <c r="BI2" s="5" t="s">
        <v>3</v>
      </c>
      <c r="BJ2" s="5" t="s">
        <v>3</v>
      </c>
      <c r="BK2" s="5" t="s">
        <v>3</v>
      </c>
      <c r="BL2" s="5" t="s">
        <v>3</v>
      </c>
      <c r="BM2" s="5" t="s">
        <v>3</v>
      </c>
      <c r="BN2" s="5" t="s">
        <v>3</v>
      </c>
      <c r="BO2" s="5" t="s">
        <v>3</v>
      </c>
      <c r="BP2" s="5" t="s">
        <v>3</v>
      </c>
      <c r="BQ2" s="5" t="s">
        <v>3</v>
      </c>
    </row>
    <row r="3" spans="1:69" ht="15" customHeight="1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  <c r="AK3" t="s">
        <v>40</v>
      </c>
      <c r="AL3" t="s">
        <v>41</v>
      </c>
      <c r="AM3" t="s">
        <v>42</v>
      </c>
      <c r="AN3" t="s">
        <v>43</v>
      </c>
      <c r="AO3" t="s">
        <v>44</v>
      </c>
      <c r="AP3" t="s">
        <v>45</v>
      </c>
      <c r="AQ3" t="s">
        <v>46</v>
      </c>
      <c r="AR3" t="s">
        <v>47</v>
      </c>
      <c r="AS3" t="s">
        <v>48</v>
      </c>
      <c r="AT3" t="s">
        <v>49</v>
      </c>
      <c r="AU3" t="s">
        <v>50</v>
      </c>
      <c r="AV3" t="s">
        <v>51</v>
      </c>
      <c r="AW3" t="s">
        <v>52</v>
      </c>
      <c r="AX3" t="s">
        <v>53</v>
      </c>
      <c r="AY3" t="s">
        <v>54</v>
      </c>
      <c r="AZ3" t="s">
        <v>55</v>
      </c>
      <c r="BA3" t="s">
        <v>56</v>
      </c>
      <c r="BB3" t="s">
        <v>57</v>
      </c>
      <c r="BC3" t="s">
        <v>58</v>
      </c>
      <c r="BD3" t="s">
        <v>59</v>
      </c>
      <c r="BE3" t="s">
        <v>60</v>
      </c>
      <c r="BF3" t="s">
        <v>61</v>
      </c>
      <c r="BG3" t="s">
        <v>62</v>
      </c>
      <c r="BH3" t="s">
        <v>63</v>
      </c>
      <c r="BI3" t="s">
        <v>64</v>
      </c>
      <c r="BJ3" t="s">
        <v>65</v>
      </c>
      <c r="BK3" t="s">
        <v>66</v>
      </c>
      <c r="BL3" t="s">
        <v>67</v>
      </c>
      <c r="BM3" t="s">
        <v>68</v>
      </c>
      <c r="BN3" t="s">
        <v>69</v>
      </c>
      <c r="BO3" t="s">
        <v>70</v>
      </c>
      <c r="BP3" t="s">
        <v>71</v>
      </c>
      <c r="BQ3" t="s">
        <v>72</v>
      </c>
    </row>
    <row r="4" spans="1:69" ht="15" customHeight="1" x14ac:dyDescent="0.25">
      <c r="A4" t="s">
        <v>73</v>
      </c>
      <c r="B4" t="s">
        <v>74</v>
      </c>
      <c r="C4" t="s">
        <v>74</v>
      </c>
      <c r="D4" t="s">
        <v>74</v>
      </c>
      <c r="E4" t="s">
        <v>74</v>
      </c>
      <c r="F4" t="s">
        <v>75</v>
      </c>
      <c r="G4" t="s">
        <v>75</v>
      </c>
      <c r="H4" t="s">
        <v>76</v>
      </c>
      <c r="I4" t="s">
        <v>76</v>
      </c>
      <c r="J4" t="s">
        <v>77</v>
      </c>
      <c r="K4" t="s">
        <v>78</v>
      </c>
      <c r="L4" t="s">
        <v>76</v>
      </c>
      <c r="M4" t="s">
        <v>79</v>
      </c>
      <c r="N4" t="s">
        <v>73</v>
      </c>
      <c r="O4" t="s">
        <v>73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78</v>
      </c>
      <c r="AA4" t="s">
        <v>78</v>
      </c>
      <c r="AB4" t="s">
        <v>75</v>
      </c>
      <c r="AC4" t="s">
        <v>75</v>
      </c>
      <c r="AD4" t="s">
        <v>74</v>
      </c>
      <c r="AE4" t="s">
        <v>74</v>
      </c>
      <c r="AF4" t="s">
        <v>74</v>
      </c>
      <c r="AG4" t="s">
        <v>74</v>
      </c>
      <c r="AH4" t="s">
        <v>77</v>
      </c>
      <c r="AI4" t="s">
        <v>80</v>
      </c>
      <c r="AJ4" t="s">
        <v>81</v>
      </c>
      <c r="AK4" t="s">
        <v>82</v>
      </c>
      <c r="AL4" t="s">
        <v>83</v>
      </c>
      <c r="AM4" t="s">
        <v>76</v>
      </c>
      <c r="AN4" t="s">
        <v>84</v>
      </c>
      <c r="AO4" t="s">
        <v>74</v>
      </c>
      <c r="AP4" t="s">
        <v>73</v>
      </c>
      <c r="AQ4" t="s">
        <v>85</v>
      </c>
      <c r="AR4" t="s">
        <v>73</v>
      </c>
      <c r="AS4" t="s">
        <v>73</v>
      </c>
      <c r="AT4" t="s">
        <v>73</v>
      </c>
      <c r="AU4" t="s">
        <v>83</v>
      </c>
      <c r="AV4" t="s">
        <v>83</v>
      </c>
      <c r="AW4" t="s">
        <v>83</v>
      </c>
      <c r="AX4" t="s">
        <v>76</v>
      </c>
      <c r="AY4" t="s">
        <v>75</v>
      </c>
      <c r="AZ4" t="s">
        <v>74</v>
      </c>
      <c r="BA4" t="s">
        <v>74</v>
      </c>
      <c r="BB4" t="s">
        <v>74</v>
      </c>
      <c r="BC4" t="s">
        <v>76</v>
      </c>
      <c r="BD4" t="s">
        <v>86</v>
      </c>
      <c r="BE4" t="s">
        <v>87</v>
      </c>
      <c r="BF4" t="s">
        <v>87</v>
      </c>
      <c r="BG4" t="s">
        <v>84</v>
      </c>
      <c r="BH4" t="s">
        <v>75</v>
      </c>
      <c r="BI4" t="s">
        <v>80</v>
      </c>
      <c r="BJ4" t="s">
        <v>76</v>
      </c>
      <c r="BK4" t="s">
        <v>88</v>
      </c>
      <c r="BL4" t="s">
        <v>89</v>
      </c>
      <c r="BM4" t="s">
        <v>86</v>
      </c>
      <c r="BN4" t="s">
        <v>90</v>
      </c>
      <c r="BO4" t="s">
        <v>77</v>
      </c>
      <c r="BP4" t="s">
        <v>91</v>
      </c>
      <c r="BQ4" t="s">
        <v>92</v>
      </c>
    </row>
    <row r="5" spans="1:69" ht="15" customHeight="1" x14ac:dyDescent="0.25">
      <c r="A5" t="s">
        <v>76</v>
      </c>
      <c r="B5" t="s">
        <v>75</v>
      </c>
      <c r="C5" t="s">
        <v>87</v>
      </c>
      <c r="D5" t="s">
        <v>87</v>
      </c>
      <c r="E5" t="s">
        <v>73</v>
      </c>
      <c r="F5" t="s">
        <v>80</v>
      </c>
      <c r="G5" t="s">
        <v>84</v>
      </c>
      <c r="H5" t="s">
        <v>75</v>
      </c>
      <c r="I5" t="s">
        <v>84</v>
      </c>
      <c r="J5" t="s">
        <v>93</v>
      </c>
      <c r="K5" t="s">
        <v>76</v>
      </c>
      <c r="L5" t="s">
        <v>80</v>
      </c>
      <c r="N5" t="s">
        <v>75</v>
      </c>
      <c r="O5" t="s">
        <v>76</v>
      </c>
      <c r="P5" t="s">
        <v>74</v>
      </c>
      <c r="Q5" t="s">
        <v>75</v>
      </c>
      <c r="R5" t="s">
        <v>75</v>
      </c>
      <c r="S5" t="s">
        <v>74</v>
      </c>
      <c r="T5" t="s">
        <v>74</v>
      </c>
      <c r="U5" t="s">
        <v>75</v>
      </c>
      <c r="V5" t="s">
        <v>75</v>
      </c>
      <c r="W5" t="s">
        <v>76</v>
      </c>
      <c r="X5" t="s">
        <v>94</v>
      </c>
      <c r="Y5" t="s">
        <v>76</v>
      </c>
      <c r="Z5" t="s">
        <v>76</v>
      </c>
      <c r="AA5" t="s">
        <v>87</v>
      </c>
      <c r="AB5" t="s">
        <v>80</v>
      </c>
      <c r="AC5" t="s">
        <v>78</v>
      </c>
      <c r="AD5" t="s">
        <v>87</v>
      </c>
      <c r="AE5" t="s">
        <v>87</v>
      </c>
      <c r="AF5" t="s">
        <v>87</v>
      </c>
      <c r="AG5" t="s">
        <v>87</v>
      </c>
      <c r="AH5" t="s">
        <v>93</v>
      </c>
      <c r="AI5" t="s">
        <v>95</v>
      </c>
      <c r="AJ5" t="s">
        <v>91</v>
      </c>
      <c r="AK5" t="s">
        <v>90</v>
      </c>
      <c r="AL5" t="s">
        <v>84</v>
      </c>
      <c r="AM5" t="s">
        <v>84</v>
      </c>
      <c r="AN5" t="s">
        <v>73</v>
      </c>
      <c r="AO5" t="s">
        <v>87</v>
      </c>
      <c r="AP5" t="s">
        <v>87</v>
      </c>
      <c r="AQ5" t="s">
        <v>84</v>
      </c>
      <c r="AR5" t="s">
        <v>96</v>
      </c>
      <c r="AS5" t="s">
        <v>75</v>
      </c>
      <c r="AT5" t="s">
        <v>87</v>
      </c>
      <c r="AU5" t="s">
        <v>85</v>
      </c>
      <c r="AV5" t="s">
        <v>85</v>
      </c>
      <c r="AW5" t="s">
        <v>85</v>
      </c>
      <c r="AX5" t="s">
        <v>97</v>
      </c>
      <c r="AY5" t="s">
        <v>76</v>
      </c>
      <c r="AZ5" t="s">
        <v>76</v>
      </c>
      <c r="BA5" t="s">
        <v>76</v>
      </c>
      <c r="BB5" t="s">
        <v>87</v>
      </c>
      <c r="BC5" t="s">
        <v>98</v>
      </c>
      <c r="BD5" t="s">
        <v>90</v>
      </c>
      <c r="BE5" t="s">
        <v>99</v>
      </c>
      <c r="BF5" t="s">
        <v>89</v>
      </c>
      <c r="BG5" t="s">
        <v>77</v>
      </c>
      <c r="BH5" t="s">
        <v>100</v>
      </c>
      <c r="BI5" t="s">
        <v>101</v>
      </c>
      <c r="BK5" t="s">
        <v>89</v>
      </c>
      <c r="BL5" t="s">
        <v>99</v>
      </c>
      <c r="BN5" t="s">
        <v>91</v>
      </c>
      <c r="BO5" t="s">
        <v>93</v>
      </c>
      <c r="BP5" t="s">
        <v>102</v>
      </c>
      <c r="BQ5" t="s">
        <v>103</v>
      </c>
    </row>
    <row r="6" spans="1:69" ht="15" customHeight="1" x14ac:dyDescent="0.25">
      <c r="A6" t="s">
        <v>84</v>
      </c>
      <c r="B6" t="s">
        <v>80</v>
      </c>
      <c r="C6" t="s">
        <v>84</v>
      </c>
      <c r="D6" t="s">
        <v>75</v>
      </c>
      <c r="E6" t="s">
        <v>75</v>
      </c>
      <c r="F6" t="s">
        <v>76</v>
      </c>
      <c r="G6" t="s">
        <v>77</v>
      </c>
      <c r="H6" t="s">
        <v>80</v>
      </c>
      <c r="I6" t="s">
        <v>98</v>
      </c>
      <c r="J6" t="s">
        <v>91</v>
      </c>
      <c r="K6" t="s">
        <v>80</v>
      </c>
      <c r="L6" t="s">
        <v>86</v>
      </c>
      <c r="N6" t="s">
        <v>74</v>
      </c>
      <c r="O6" t="s">
        <v>87</v>
      </c>
      <c r="P6" t="s">
        <v>84</v>
      </c>
      <c r="Q6" t="s">
        <v>74</v>
      </c>
      <c r="R6" t="s">
        <v>74</v>
      </c>
      <c r="S6" t="s">
        <v>87</v>
      </c>
      <c r="T6" t="s">
        <v>87</v>
      </c>
      <c r="U6" t="s">
        <v>76</v>
      </c>
      <c r="V6" t="s">
        <v>76</v>
      </c>
      <c r="W6" t="s">
        <v>87</v>
      </c>
      <c r="X6" t="s">
        <v>104</v>
      </c>
      <c r="Y6" t="s">
        <v>87</v>
      </c>
      <c r="Z6" t="s">
        <v>97</v>
      </c>
      <c r="AA6" t="s">
        <v>96</v>
      </c>
      <c r="AB6" t="s">
        <v>105</v>
      </c>
      <c r="AC6" t="s">
        <v>80</v>
      </c>
      <c r="AD6" t="s">
        <v>84</v>
      </c>
      <c r="AE6" t="s">
        <v>80</v>
      </c>
      <c r="AF6" t="s">
        <v>84</v>
      </c>
      <c r="AG6" t="s">
        <v>84</v>
      </c>
      <c r="AH6" t="s">
        <v>105</v>
      </c>
      <c r="AI6" t="s">
        <v>106</v>
      </c>
      <c r="AJ6" t="s">
        <v>107</v>
      </c>
      <c r="AK6" t="s">
        <v>79</v>
      </c>
      <c r="AL6" t="s">
        <v>98</v>
      </c>
      <c r="AM6" t="s">
        <v>74</v>
      </c>
      <c r="AN6" t="s">
        <v>108</v>
      </c>
      <c r="AO6" t="s">
        <v>79</v>
      </c>
      <c r="AP6" t="s">
        <v>99</v>
      </c>
      <c r="AQ6" t="s">
        <v>74</v>
      </c>
      <c r="AR6" t="s">
        <v>108</v>
      </c>
      <c r="AS6" t="s">
        <v>76</v>
      </c>
      <c r="AT6" t="s">
        <v>97</v>
      </c>
      <c r="AU6" t="s">
        <v>84</v>
      </c>
      <c r="AV6" t="s">
        <v>84</v>
      </c>
      <c r="AW6" t="s">
        <v>80</v>
      </c>
      <c r="AX6" t="s">
        <v>98</v>
      </c>
      <c r="AY6" t="s">
        <v>73</v>
      </c>
      <c r="AZ6" t="s">
        <v>87</v>
      </c>
      <c r="BA6" t="s">
        <v>87</v>
      </c>
      <c r="BB6" t="s">
        <v>80</v>
      </c>
      <c r="BC6" t="s">
        <v>75</v>
      </c>
      <c r="BD6" t="s">
        <v>102</v>
      </c>
      <c r="BE6" t="s">
        <v>98</v>
      </c>
      <c r="BF6" t="s">
        <v>95</v>
      </c>
      <c r="BG6" t="s">
        <v>91</v>
      </c>
      <c r="BH6" t="s">
        <v>109</v>
      </c>
      <c r="BI6" t="s">
        <v>110</v>
      </c>
      <c r="BK6" t="s">
        <v>91</v>
      </c>
      <c r="BL6" t="s">
        <v>81</v>
      </c>
      <c r="BN6" t="s">
        <v>94</v>
      </c>
      <c r="BO6" t="s">
        <v>102</v>
      </c>
      <c r="BP6" t="s">
        <v>94</v>
      </c>
      <c r="BQ6" t="s">
        <v>111</v>
      </c>
    </row>
    <row r="7" spans="1:69" ht="15" customHeight="1" x14ac:dyDescent="0.25">
      <c r="A7" t="s">
        <v>98</v>
      </c>
      <c r="B7" t="s">
        <v>82</v>
      </c>
      <c r="C7" t="s">
        <v>98</v>
      </c>
      <c r="D7" t="s">
        <v>80</v>
      </c>
      <c r="E7" t="s">
        <v>80</v>
      </c>
      <c r="F7" t="s">
        <v>81</v>
      </c>
      <c r="G7" t="s">
        <v>93</v>
      </c>
      <c r="H7" t="s">
        <v>77</v>
      </c>
      <c r="I7" t="s">
        <v>81</v>
      </c>
      <c r="J7" t="s">
        <v>94</v>
      </c>
      <c r="K7" t="s">
        <v>86</v>
      </c>
      <c r="L7" t="s">
        <v>77</v>
      </c>
      <c r="N7" t="s">
        <v>80</v>
      </c>
      <c r="O7" t="s">
        <v>84</v>
      </c>
      <c r="P7" t="s">
        <v>98</v>
      </c>
      <c r="Q7" t="s">
        <v>76</v>
      </c>
      <c r="R7" t="s">
        <v>84</v>
      </c>
      <c r="S7" t="s">
        <v>84</v>
      </c>
      <c r="T7" t="s">
        <v>84</v>
      </c>
      <c r="U7" t="s">
        <v>80</v>
      </c>
      <c r="V7" t="s">
        <v>80</v>
      </c>
      <c r="W7" t="s">
        <v>84</v>
      </c>
      <c r="X7" t="s">
        <v>112</v>
      </c>
      <c r="Y7" t="s">
        <v>80</v>
      </c>
      <c r="Z7" t="s">
        <v>96</v>
      </c>
      <c r="AA7" t="s">
        <v>105</v>
      </c>
      <c r="AB7" t="s">
        <v>102</v>
      </c>
      <c r="AC7" t="s">
        <v>97</v>
      </c>
      <c r="AD7" t="s">
        <v>79</v>
      </c>
      <c r="AE7" t="s">
        <v>98</v>
      </c>
      <c r="AF7" t="s">
        <v>81</v>
      </c>
      <c r="AG7" t="s">
        <v>79</v>
      </c>
      <c r="AH7" t="s">
        <v>91</v>
      </c>
      <c r="AI7" t="s">
        <v>104</v>
      </c>
      <c r="AJ7" t="s">
        <v>106</v>
      </c>
      <c r="AK7" t="s">
        <v>113</v>
      </c>
      <c r="AL7" t="s">
        <v>90</v>
      </c>
      <c r="AM7" t="s">
        <v>79</v>
      </c>
      <c r="AN7" t="s">
        <v>96</v>
      </c>
      <c r="AO7" t="s">
        <v>90</v>
      </c>
      <c r="AP7" t="s">
        <v>90</v>
      </c>
      <c r="AQ7" t="s">
        <v>98</v>
      </c>
      <c r="AR7" t="s">
        <v>76</v>
      </c>
      <c r="AS7" t="s">
        <v>80</v>
      </c>
      <c r="AT7" t="s">
        <v>80</v>
      </c>
      <c r="AU7" t="s">
        <v>80</v>
      </c>
      <c r="AV7" t="s">
        <v>75</v>
      </c>
      <c r="AW7" t="s">
        <v>90</v>
      </c>
      <c r="AX7" t="s">
        <v>80</v>
      </c>
      <c r="AY7" t="s">
        <v>79</v>
      </c>
      <c r="AZ7" t="s">
        <v>108</v>
      </c>
      <c r="BA7" t="s">
        <v>99</v>
      </c>
      <c r="BB7" t="s">
        <v>98</v>
      </c>
      <c r="BC7" t="s">
        <v>86</v>
      </c>
      <c r="BD7" t="s">
        <v>114</v>
      </c>
      <c r="BE7" t="s">
        <v>76</v>
      </c>
      <c r="BF7" t="s">
        <v>106</v>
      </c>
      <c r="BG7" t="s">
        <v>102</v>
      </c>
      <c r="BH7" t="s">
        <v>115</v>
      </c>
      <c r="BI7" t="s">
        <v>114</v>
      </c>
      <c r="BK7" t="s">
        <v>102</v>
      </c>
      <c r="BL7" t="s">
        <v>116</v>
      </c>
      <c r="BN7" t="s">
        <v>107</v>
      </c>
      <c r="BO7" t="s">
        <v>94</v>
      </c>
      <c r="BP7" t="s">
        <v>117</v>
      </c>
    </row>
    <row r="8" spans="1:69" ht="15" customHeight="1" x14ac:dyDescent="0.25">
      <c r="A8" t="s">
        <v>86</v>
      </c>
      <c r="B8" t="s">
        <v>77</v>
      </c>
      <c r="C8" t="s">
        <v>86</v>
      </c>
      <c r="D8" t="s">
        <v>86</v>
      </c>
      <c r="E8" t="s">
        <v>76</v>
      </c>
      <c r="F8" t="s">
        <v>89</v>
      </c>
      <c r="H8" t="s">
        <v>93</v>
      </c>
      <c r="I8" t="s">
        <v>89</v>
      </c>
      <c r="J8" t="s">
        <v>118</v>
      </c>
      <c r="K8" t="s">
        <v>77</v>
      </c>
      <c r="L8" t="s">
        <v>113</v>
      </c>
      <c r="N8" t="s">
        <v>82</v>
      </c>
      <c r="O8" t="s">
        <v>98</v>
      </c>
      <c r="P8" t="s">
        <v>75</v>
      </c>
      <c r="Q8" t="s">
        <v>80</v>
      </c>
      <c r="R8" t="s">
        <v>79</v>
      </c>
      <c r="S8" t="s">
        <v>80</v>
      </c>
      <c r="T8" t="s">
        <v>98</v>
      </c>
      <c r="U8" t="s">
        <v>79</v>
      </c>
      <c r="V8" t="s">
        <v>86</v>
      </c>
      <c r="W8" t="s">
        <v>108</v>
      </c>
      <c r="X8" t="s">
        <v>119</v>
      </c>
      <c r="Y8" t="s">
        <v>79</v>
      </c>
      <c r="Z8" t="s">
        <v>77</v>
      </c>
      <c r="AA8" t="s">
        <v>79</v>
      </c>
      <c r="AB8" t="s">
        <v>95</v>
      </c>
      <c r="AC8" t="s">
        <v>79</v>
      </c>
      <c r="AD8" t="s">
        <v>105</v>
      </c>
      <c r="AE8" t="s">
        <v>90</v>
      </c>
      <c r="AF8" t="s">
        <v>77</v>
      </c>
      <c r="AG8" t="s">
        <v>86</v>
      </c>
      <c r="AH8" t="s">
        <v>115</v>
      </c>
      <c r="AI8" t="s">
        <v>120</v>
      </c>
      <c r="AJ8" t="s">
        <v>77</v>
      </c>
      <c r="AK8" t="s">
        <v>114</v>
      </c>
      <c r="AL8" t="s">
        <v>89</v>
      </c>
      <c r="AM8" t="s">
        <v>77</v>
      </c>
      <c r="AN8" t="s">
        <v>77</v>
      </c>
      <c r="AO8" t="s">
        <v>89</v>
      </c>
      <c r="AP8" t="s">
        <v>93</v>
      </c>
      <c r="AQ8" t="s">
        <v>88</v>
      </c>
      <c r="AR8" t="s">
        <v>90</v>
      </c>
      <c r="AS8" t="s">
        <v>86</v>
      </c>
      <c r="AT8" t="s">
        <v>75</v>
      </c>
      <c r="AU8" t="s">
        <v>90</v>
      </c>
      <c r="AV8" t="s">
        <v>90</v>
      </c>
      <c r="AW8" t="s">
        <v>110</v>
      </c>
      <c r="AX8" t="s">
        <v>79</v>
      </c>
      <c r="AY8" t="s">
        <v>86</v>
      </c>
      <c r="AZ8" t="s">
        <v>79</v>
      </c>
      <c r="BA8" t="s">
        <v>98</v>
      </c>
      <c r="BB8" t="s">
        <v>90</v>
      </c>
      <c r="BC8" t="s">
        <v>110</v>
      </c>
      <c r="BD8" t="s">
        <v>115</v>
      </c>
      <c r="BE8" t="s">
        <v>89</v>
      </c>
      <c r="BF8" t="s">
        <v>121</v>
      </c>
      <c r="BG8" t="s">
        <v>95</v>
      </c>
      <c r="BH8" t="s">
        <v>122</v>
      </c>
      <c r="BI8" t="s">
        <v>92</v>
      </c>
      <c r="BK8" t="s">
        <v>117</v>
      </c>
      <c r="BL8" t="s">
        <v>123</v>
      </c>
      <c r="BN8" t="s">
        <v>114</v>
      </c>
      <c r="BO8" t="s">
        <v>104</v>
      </c>
      <c r="BP8" t="s">
        <v>92</v>
      </c>
    </row>
    <row r="9" spans="1:69" ht="15" customHeight="1" x14ac:dyDescent="0.25">
      <c r="A9" t="s">
        <v>93</v>
      </c>
      <c r="B9" t="s">
        <v>91</v>
      </c>
      <c r="C9" t="s">
        <v>89</v>
      </c>
      <c r="D9" t="s">
        <v>98</v>
      </c>
      <c r="E9" t="s">
        <v>82</v>
      </c>
      <c r="F9" t="s">
        <v>114</v>
      </c>
      <c r="H9" t="s">
        <v>100</v>
      </c>
      <c r="I9" t="s">
        <v>114</v>
      </c>
      <c r="J9" t="s">
        <v>104</v>
      </c>
      <c r="K9" t="s">
        <v>113</v>
      </c>
      <c r="L9" t="s">
        <v>106</v>
      </c>
      <c r="N9" t="s">
        <v>101</v>
      </c>
      <c r="O9" t="s">
        <v>93</v>
      </c>
      <c r="P9" t="s">
        <v>79</v>
      </c>
      <c r="Q9" t="s">
        <v>98</v>
      </c>
      <c r="R9" t="s">
        <v>81</v>
      </c>
      <c r="S9" t="s">
        <v>101</v>
      </c>
      <c r="T9" t="s">
        <v>77</v>
      </c>
      <c r="U9" t="s">
        <v>90</v>
      </c>
      <c r="V9" t="s">
        <v>91</v>
      </c>
      <c r="W9" t="s">
        <v>77</v>
      </c>
      <c r="X9" t="s">
        <v>124</v>
      </c>
      <c r="Y9" t="s">
        <v>90</v>
      </c>
      <c r="Z9" t="s">
        <v>93</v>
      </c>
      <c r="AA9" t="s">
        <v>114</v>
      </c>
      <c r="AB9" t="s">
        <v>114</v>
      </c>
      <c r="AC9" t="s">
        <v>90</v>
      </c>
      <c r="AD9" t="s">
        <v>114</v>
      </c>
      <c r="AE9" t="s">
        <v>91</v>
      </c>
      <c r="AF9" t="s">
        <v>93</v>
      </c>
      <c r="AG9" t="s">
        <v>89</v>
      </c>
      <c r="AH9" t="s">
        <v>118</v>
      </c>
      <c r="AI9" t="s">
        <v>109</v>
      </c>
      <c r="AJ9" t="s">
        <v>115</v>
      </c>
      <c r="AK9" t="s">
        <v>106</v>
      </c>
      <c r="AL9" t="s">
        <v>102</v>
      </c>
      <c r="AM9" t="s">
        <v>86</v>
      </c>
      <c r="AN9" t="s">
        <v>90</v>
      </c>
      <c r="AO9" t="s">
        <v>88</v>
      </c>
      <c r="AP9" t="s">
        <v>100</v>
      </c>
      <c r="AQ9" t="s">
        <v>89</v>
      </c>
      <c r="AR9" t="s">
        <v>89</v>
      </c>
      <c r="AS9" t="s">
        <v>89</v>
      </c>
      <c r="AT9" t="s">
        <v>79</v>
      </c>
      <c r="AU9" t="s">
        <v>100</v>
      </c>
      <c r="AV9" t="s">
        <v>110</v>
      </c>
      <c r="AW9" t="s">
        <v>86</v>
      </c>
      <c r="AX9" t="s">
        <v>90</v>
      </c>
      <c r="AY9" t="s">
        <v>77</v>
      </c>
      <c r="AZ9" t="s">
        <v>88</v>
      </c>
      <c r="BA9" t="s">
        <v>81</v>
      </c>
      <c r="BB9" t="s">
        <v>89</v>
      </c>
      <c r="BC9" t="s">
        <v>100</v>
      </c>
      <c r="BD9" t="s">
        <v>109</v>
      </c>
      <c r="BE9" t="s">
        <v>102</v>
      </c>
      <c r="BF9" t="s">
        <v>125</v>
      </c>
      <c r="BG9" t="s">
        <v>94</v>
      </c>
      <c r="BH9" t="s">
        <v>126</v>
      </c>
      <c r="BI9" t="s">
        <v>112</v>
      </c>
      <c r="BK9" t="s">
        <v>92</v>
      </c>
      <c r="BL9" t="s">
        <v>114</v>
      </c>
      <c r="BN9" t="s">
        <v>104</v>
      </c>
      <c r="BO9" t="s">
        <v>121</v>
      </c>
      <c r="BP9" t="s">
        <v>121</v>
      </c>
    </row>
    <row r="10" spans="1:69" ht="15" customHeight="1" x14ac:dyDescent="0.25">
      <c r="A10" t="s">
        <v>100</v>
      </c>
      <c r="B10" t="s">
        <v>115</v>
      </c>
      <c r="C10" t="s">
        <v>95</v>
      </c>
      <c r="D10" t="s">
        <v>91</v>
      </c>
      <c r="E10" t="s">
        <v>86</v>
      </c>
      <c r="F10" t="s">
        <v>106</v>
      </c>
      <c r="H10" t="s">
        <v>102</v>
      </c>
      <c r="I10" t="s">
        <v>95</v>
      </c>
      <c r="J10" t="s">
        <v>111</v>
      </c>
      <c r="K10" t="s">
        <v>106</v>
      </c>
      <c r="L10" t="s">
        <v>115</v>
      </c>
      <c r="N10" t="s">
        <v>123</v>
      </c>
      <c r="O10" t="s">
        <v>102</v>
      </c>
      <c r="P10" t="s">
        <v>95</v>
      </c>
      <c r="Q10" t="s">
        <v>86</v>
      </c>
      <c r="R10" t="s">
        <v>77</v>
      </c>
      <c r="S10" t="s">
        <v>77</v>
      </c>
      <c r="T10" t="s">
        <v>81</v>
      </c>
      <c r="U10" t="s">
        <v>102</v>
      </c>
      <c r="V10" t="s">
        <v>95</v>
      </c>
      <c r="W10" t="s">
        <v>89</v>
      </c>
      <c r="X10" t="s">
        <v>127</v>
      </c>
      <c r="Y10" t="s">
        <v>88</v>
      </c>
      <c r="Z10" t="s">
        <v>113</v>
      </c>
      <c r="AA10" t="s">
        <v>106</v>
      </c>
      <c r="AB10" t="s">
        <v>94</v>
      </c>
      <c r="AC10" t="s">
        <v>89</v>
      </c>
      <c r="AD10" t="s">
        <v>106</v>
      </c>
      <c r="AE10" t="s">
        <v>95</v>
      </c>
      <c r="AF10" t="s">
        <v>102</v>
      </c>
      <c r="AG10" t="s">
        <v>91</v>
      </c>
      <c r="AH10" t="s">
        <v>114</v>
      </c>
      <c r="AI10" t="s">
        <v>128</v>
      </c>
      <c r="AJ10" t="s">
        <v>111</v>
      </c>
      <c r="AK10" t="s">
        <v>129</v>
      </c>
      <c r="AL10" t="s">
        <v>95</v>
      </c>
      <c r="AM10" t="s">
        <v>100</v>
      </c>
      <c r="AN10" t="s">
        <v>100</v>
      </c>
      <c r="AO10" t="s">
        <v>95</v>
      </c>
      <c r="AP10" t="s">
        <v>91</v>
      </c>
      <c r="AQ10" t="s">
        <v>95</v>
      </c>
      <c r="AR10" t="s">
        <v>77</v>
      </c>
      <c r="AS10" t="s">
        <v>100</v>
      </c>
      <c r="AT10" t="s">
        <v>88</v>
      </c>
      <c r="AU10" t="s">
        <v>91</v>
      </c>
      <c r="AV10" t="s">
        <v>101</v>
      </c>
      <c r="AW10" t="s">
        <v>102</v>
      </c>
      <c r="AX10" t="s">
        <v>89</v>
      </c>
      <c r="AY10" t="s">
        <v>100</v>
      </c>
      <c r="AZ10" t="s">
        <v>90</v>
      </c>
      <c r="BA10" t="s">
        <v>89</v>
      </c>
      <c r="BB10" t="s">
        <v>93</v>
      </c>
      <c r="BC10" t="s">
        <v>106</v>
      </c>
      <c r="BD10" t="s">
        <v>103</v>
      </c>
      <c r="BE10" t="s">
        <v>116</v>
      </c>
      <c r="BF10" t="s">
        <v>130</v>
      </c>
      <c r="BG10" t="s">
        <v>131</v>
      </c>
      <c r="BH10" t="s">
        <v>124</v>
      </c>
      <c r="BI10" t="s">
        <v>132</v>
      </c>
      <c r="BK10" t="s">
        <v>104</v>
      </c>
      <c r="BL10" t="s">
        <v>107</v>
      </c>
      <c r="BN10" t="s">
        <v>112</v>
      </c>
      <c r="BO10" t="s">
        <v>131</v>
      </c>
      <c r="BP10" t="s">
        <v>125</v>
      </c>
    </row>
    <row r="11" spans="1:69" ht="15" customHeight="1" x14ac:dyDescent="0.25">
      <c r="A11" t="s">
        <v>91</v>
      </c>
      <c r="B11" t="s">
        <v>118</v>
      </c>
      <c r="C11" t="s">
        <v>114</v>
      </c>
      <c r="D11" t="s">
        <v>100</v>
      </c>
      <c r="E11" t="s">
        <v>102</v>
      </c>
      <c r="F11" t="s">
        <v>94</v>
      </c>
      <c r="H11" t="s">
        <v>133</v>
      </c>
      <c r="I11" t="s">
        <v>92</v>
      </c>
      <c r="J11" t="s">
        <v>134</v>
      </c>
      <c r="K11" t="s">
        <v>115</v>
      </c>
      <c r="L11" t="s">
        <v>129</v>
      </c>
      <c r="N11" t="s">
        <v>118</v>
      </c>
      <c r="O11" t="s">
        <v>95</v>
      </c>
      <c r="P11" t="s">
        <v>114</v>
      </c>
      <c r="Q11" t="s">
        <v>93</v>
      </c>
      <c r="R11" t="s">
        <v>88</v>
      </c>
      <c r="S11" t="s">
        <v>93</v>
      </c>
      <c r="T11" t="s">
        <v>95</v>
      </c>
      <c r="U11" t="s">
        <v>95</v>
      </c>
      <c r="V11" t="s">
        <v>133</v>
      </c>
      <c r="W11" t="s">
        <v>93</v>
      </c>
      <c r="X11" t="s">
        <v>135</v>
      </c>
      <c r="Y11" t="s">
        <v>100</v>
      </c>
      <c r="Z11" t="s">
        <v>107</v>
      </c>
      <c r="AA11" t="s">
        <v>115</v>
      </c>
      <c r="AB11" t="s">
        <v>104</v>
      </c>
      <c r="AC11" t="s">
        <v>102</v>
      </c>
      <c r="AD11" t="s">
        <v>94</v>
      </c>
      <c r="AE11" t="s">
        <v>133</v>
      </c>
      <c r="AF11" t="s">
        <v>94</v>
      </c>
      <c r="AG11" t="s">
        <v>102</v>
      </c>
      <c r="AH11" t="s">
        <v>100</v>
      </c>
      <c r="AI11" t="s">
        <v>136</v>
      </c>
      <c r="AJ11" t="s">
        <v>137</v>
      </c>
      <c r="AK11" t="s">
        <v>89</v>
      </c>
      <c r="AL11" t="s">
        <v>94</v>
      </c>
      <c r="AM11" t="s">
        <v>91</v>
      </c>
      <c r="AN11" t="s">
        <v>91</v>
      </c>
      <c r="AO11" t="s">
        <v>120</v>
      </c>
      <c r="AP11" t="s">
        <v>114</v>
      </c>
      <c r="AQ11" t="s">
        <v>106</v>
      </c>
      <c r="AR11" t="s">
        <v>100</v>
      </c>
      <c r="AS11" t="s">
        <v>102</v>
      </c>
      <c r="AT11" t="s">
        <v>90</v>
      </c>
      <c r="AU11" t="s">
        <v>94</v>
      </c>
      <c r="AV11" t="s">
        <v>94</v>
      </c>
      <c r="AW11" t="s">
        <v>100</v>
      </c>
      <c r="AX11" t="s">
        <v>93</v>
      </c>
      <c r="AY11" t="s">
        <v>91</v>
      </c>
      <c r="AZ11" t="s">
        <v>100</v>
      </c>
      <c r="BA11" t="s">
        <v>91</v>
      </c>
      <c r="BB11" t="s">
        <v>88</v>
      </c>
      <c r="BC11" t="s">
        <v>91</v>
      </c>
      <c r="BD11" t="s">
        <v>121</v>
      </c>
      <c r="BE11" t="s">
        <v>118</v>
      </c>
      <c r="BF11" t="s">
        <v>119</v>
      </c>
      <c r="BG11" t="s">
        <v>126</v>
      </c>
      <c r="BH11" t="s">
        <v>138</v>
      </c>
      <c r="BI11" t="s">
        <v>138</v>
      </c>
      <c r="BK11" t="s">
        <v>131</v>
      </c>
      <c r="BL11" t="s">
        <v>104</v>
      </c>
      <c r="BN11" t="s">
        <v>121</v>
      </c>
      <c r="BO11" t="s">
        <v>138</v>
      </c>
      <c r="BP11" t="s">
        <v>131</v>
      </c>
    </row>
    <row r="12" spans="1:69" ht="15" customHeight="1" x14ac:dyDescent="0.25">
      <c r="A12" t="s">
        <v>95</v>
      </c>
      <c r="B12" t="s">
        <v>104</v>
      </c>
      <c r="C12" t="s">
        <v>117</v>
      </c>
      <c r="D12" t="s">
        <v>133</v>
      </c>
      <c r="E12" t="s">
        <v>95</v>
      </c>
      <c r="F12" t="s">
        <v>121</v>
      </c>
      <c r="H12" t="s">
        <v>92</v>
      </c>
      <c r="I12" t="s">
        <v>112</v>
      </c>
      <c r="J12" t="s">
        <v>128</v>
      </c>
      <c r="K12" t="s">
        <v>129</v>
      </c>
      <c r="L12" t="s">
        <v>112</v>
      </c>
      <c r="N12" t="s">
        <v>115</v>
      </c>
      <c r="O12" t="s">
        <v>114</v>
      </c>
      <c r="P12" t="s">
        <v>106</v>
      </c>
      <c r="Q12" t="s">
        <v>107</v>
      </c>
      <c r="R12" t="s">
        <v>123</v>
      </c>
      <c r="S12" t="s">
        <v>107</v>
      </c>
      <c r="T12" t="s">
        <v>114</v>
      </c>
      <c r="U12" t="s">
        <v>114</v>
      </c>
      <c r="V12" t="s">
        <v>106</v>
      </c>
      <c r="W12" t="s">
        <v>100</v>
      </c>
      <c r="X12" t="s">
        <v>139</v>
      </c>
      <c r="Y12" t="s">
        <v>95</v>
      </c>
      <c r="Z12" t="s">
        <v>114</v>
      </c>
      <c r="AA12" t="s">
        <v>91</v>
      </c>
      <c r="AB12" t="s">
        <v>112</v>
      </c>
      <c r="AC12" t="s">
        <v>117</v>
      </c>
      <c r="AD12" t="s">
        <v>89</v>
      </c>
      <c r="AE12" t="s">
        <v>111</v>
      </c>
      <c r="AF12" t="s">
        <v>109</v>
      </c>
      <c r="AG12" t="s">
        <v>109</v>
      </c>
      <c r="AH12" t="s">
        <v>104</v>
      </c>
      <c r="AI12" t="s">
        <v>140</v>
      </c>
      <c r="AJ12" t="s">
        <v>92</v>
      </c>
      <c r="AK12" t="s">
        <v>95</v>
      </c>
      <c r="AL12" t="s">
        <v>140</v>
      </c>
      <c r="AM12" t="s">
        <v>102</v>
      </c>
      <c r="AN12" t="s">
        <v>102</v>
      </c>
      <c r="AO12" t="s">
        <v>141</v>
      </c>
      <c r="AP12" t="s">
        <v>107</v>
      </c>
      <c r="AQ12" t="s">
        <v>115</v>
      </c>
      <c r="AR12" t="s">
        <v>102</v>
      </c>
      <c r="AS12" t="s">
        <v>117</v>
      </c>
      <c r="AT12" t="s">
        <v>100</v>
      </c>
      <c r="AU12" t="s">
        <v>142</v>
      </c>
      <c r="AV12" t="s">
        <v>109</v>
      </c>
      <c r="AW12" t="s">
        <v>92</v>
      </c>
      <c r="AX12" t="s">
        <v>141</v>
      </c>
      <c r="AY12" t="s">
        <v>102</v>
      </c>
      <c r="AZ12" t="s">
        <v>91</v>
      </c>
      <c r="BA12" t="s">
        <v>102</v>
      </c>
      <c r="BB12" t="s">
        <v>100</v>
      </c>
      <c r="BC12" t="s">
        <v>104</v>
      </c>
      <c r="BD12" t="s">
        <v>120</v>
      </c>
      <c r="BE12" t="s">
        <v>103</v>
      </c>
      <c r="BF12" t="s">
        <v>143</v>
      </c>
      <c r="BG12" t="s">
        <v>144</v>
      </c>
      <c r="BH12" t="s">
        <v>145</v>
      </c>
      <c r="BK12" t="s">
        <v>146</v>
      </c>
      <c r="BL12" t="s">
        <v>120</v>
      </c>
      <c r="BN12" t="s">
        <v>115</v>
      </c>
      <c r="BP12" t="s">
        <v>146</v>
      </c>
    </row>
    <row r="13" spans="1:69" ht="15" customHeight="1" x14ac:dyDescent="0.25">
      <c r="A13" t="s">
        <v>92</v>
      </c>
      <c r="B13" t="s">
        <v>103</v>
      </c>
      <c r="C13" t="s">
        <v>109</v>
      </c>
      <c r="D13" t="s">
        <v>102</v>
      </c>
      <c r="E13" t="s">
        <v>106</v>
      </c>
      <c r="F13" t="s">
        <v>120</v>
      </c>
      <c r="H13" t="s">
        <v>111</v>
      </c>
      <c r="I13" t="s">
        <v>121</v>
      </c>
      <c r="J13" t="s">
        <v>136</v>
      </c>
      <c r="K13" t="s">
        <v>112</v>
      </c>
      <c r="L13" t="s">
        <v>121</v>
      </c>
      <c r="N13" t="s">
        <v>109</v>
      </c>
      <c r="O13" t="s">
        <v>94</v>
      </c>
      <c r="P13" t="s">
        <v>115</v>
      </c>
      <c r="Q13" t="s">
        <v>114</v>
      </c>
      <c r="R13" t="s">
        <v>118</v>
      </c>
      <c r="S13" t="s">
        <v>95</v>
      </c>
      <c r="T13" t="s">
        <v>94</v>
      </c>
      <c r="U13" t="s">
        <v>94</v>
      </c>
      <c r="V13" t="s">
        <v>109</v>
      </c>
      <c r="W13" t="s">
        <v>114</v>
      </c>
      <c r="X13" t="s">
        <v>147</v>
      </c>
      <c r="Y13" t="s">
        <v>132</v>
      </c>
      <c r="Z13" t="s">
        <v>106</v>
      </c>
      <c r="AA13" t="s">
        <v>104</v>
      </c>
      <c r="AB13" t="s">
        <v>118</v>
      </c>
      <c r="AC13" t="s">
        <v>109</v>
      </c>
      <c r="AD13" t="s">
        <v>109</v>
      </c>
      <c r="AE13" t="s">
        <v>121</v>
      </c>
      <c r="AF13" t="s">
        <v>120</v>
      </c>
      <c r="AG13" t="s">
        <v>103</v>
      </c>
      <c r="AH13" t="s">
        <v>111</v>
      </c>
      <c r="AI13" t="s">
        <v>126</v>
      </c>
      <c r="AJ13" t="s">
        <v>131</v>
      </c>
      <c r="AK13" t="s">
        <v>109</v>
      </c>
      <c r="AL13" t="s">
        <v>136</v>
      </c>
      <c r="AM13" t="s">
        <v>106</v>
      </c>
      <c r="AN13" t="s">
        <v>114</v>
      </c>
      <c r="AO13" t="s">
        <v>103</v>
      </c>
      <c r="AP13" t="s">
        <v>121</v>
      </c>
      <c r="AQ13" t="s">
        <v>117</v>
      </c>
      <c r="AR13" t="s">
        <v>106</v>
      </c>
      <c r="AS13" t="s">
        <v>137</v>
      </c>
      <c r="AT13" t="s">
        <v>116</v>
      </c>
      <c r="AU13" t="s">
        <v>121</v>
      </c>
      <c r="AV13" t="s">
        <v>112</v>
      </c>
      <c r="AW13" t="s">
        <v>120</v>
      </c>
      <c r="AX13" t="s">
        <v>118</v>
      </c>
      <c r="AY13" t="s">
        <v>125</v>
      </c>
      <c r="AZ13" t="s">
        <v>114</v>
      </c>
      <c r="BA13" t="s">
        <v>116</v>
      </c>
      <c r="BB13" t="s">
        <v>102</v>
      </c>
      <c r="BC13" t="s">
        <v>121</v>
      </c>
      <c r="BD13" t="s">
        <v>148</v>
      </c>
      <c r="BE13" t="s">
        <v>121</v>
      </c>
      <c r="BF13" t="s">
        <v>145</v>
      </c>
      <c r="BG13" t="s">
        <v>127</v>
      </c>
      <c r="BH13" t="s">
        <v>127</v>
      </c>
      <c r="BL13" t="s">
        <v>103</v>
      </c>
      <c r="BN13" t="s">
        <v>131</v>
      </c>
      <c r="BP13" t="s">
        <v>126</v>
      </c>
    </row>
    <row r="14" spans="1:69" ht="15" customHeight="1" x14ac:dyDescent="0.25">
      <c r="A14" t="s">
        <v>112</v>
      </c>
      <c r="B14" t="s">
        <v>112</v>
      </c>
      <c r="C14" t="s">
        <v>134</v>
      </c>
      <c r="D14" t="s">
        <v>117</v>
      </c>
      <c r="E14" t="s">
        <v>115</v>
      </c>
      <c r="F14" t="s">
        <v>148</v>
      </c>
      <c r="H14" t="s">
        <v>120</v>
      </c>
      <c r="I14" t="s">
        <v>120</v>
      </c>
      <c r="J14" t="s">
        <v>124</v>
      </c>
      <c r="K14" t="s">
        <v>134</v>
      </c>
      <c r="L14" t="s">
        <v>134</v>
      </c>
      <c r="N14" t="s">
        <v>111</v>
      </c>
      <c r="O14" t="s">
        <v>90</v>
      </c>
      <c r="P14" t="s">
        <v>104</v>
      </c>
      <c r="Q14" t="s">
        <v>94</v>
      </c>
      <c r="R14" t="s">
        <v>115</v>
      </c>
      <c r="S14" t="s">
        <v>114</v>
      </c>
      <c r="T14" t="s">
        <v>104</v>
      </c>
      <c r="U14" t="s">
        <v>93</v>
      </c>
      <c r="V14" t="s">
        <v>111</v>
      </c>
      <c r="W14" t="s">
        <v>106</v>
      </c>
      <c r="X14" t="s">
        <v>149</v>
      </c>
      <c r="Y14" t="s">
        <v>150</v>
      </c>
      <c r="Z14" t="s">
        <v>129</v>
      </c>
      <c r="AA14" t="s">
        <v>111</v>
      </c>
      <c r="AB14" t="s">
        <v>92</v>
      </c>
      <c r="AC14" t="s">
        <v>103</v>
      </c>
      <c r="AD14" t="s">
        <v>112</v>
      </c>
      <c r="AE14" t="s">
        <v>131</v>
      </c>
      <c r="AF14" t="s">
        <v>111</v>
      </c>
      <c r="AG14" t="s">
        <v>117</v>
      </c>
      <c r="AH14" t="s">
        <v>131</v>
      </c>
      <c r="AI14" t="s">
        <v>150</v>
      </c>
      <c r="AJ14" t="s">
        <v>121</v>
      </c>
      <c r="AK14" t="s">
        <v>103</v>
      </c>
      <c r="AL14" t="s">
        <v>120</v>
      </c>
      <c r="AM14" t="s">
        <v>92</v>
      </c>
      <c r="AN14" t="s">
        <v>104</v>
      </c>
      <c r="AO14" t="s">
        <v>151</v>
      </c>
      <c r="AP14" t="s">
        <v>120</v>
      </c>
      <c r="AQ14" t="s">
        <v>134</v>
      </c>
      <c r="AR14" t="s">
        <v>94</v>
      </c>
      <c r="AS14" t="s">
        <v>152</v>
      </c>
      <c r="AT14" t="s">
        <v>114</v>
      </c>
      <c r="AU14" t="s">
        <v>125</v>
      </c>
      <c r="AV14" t="s">
        <v>134</v>
      </c>
      <c r="AW14" t="s">
        <v>91</v>
      </c>
      <c r="AX14" t="s">
        <v>92</v>
      </c>
      <c r="AY14" t="s">
        <v>128</v>
      </c>
      <c r="AZ14" t="s">
        <v>104</v>
      </c>
      <c r="BA14" t="s">
        <v>104</v>
      </c>
      <c r="BB14" t="s">
        <v>123</v>
      </c>
      <c r="BC14" t="s">
        <v>131</v>
      </c>
      <c r="BD14" t="s">
        <v>140</v>
      </c>
      <c r="BE14" t="s">
        <v>125</v>
      </c>
      <c r="BF14" t="s">
        <v>135</v>
      </c>
      <c r="BG14" t="s">
        <v>135</v>
      </c>
      <c r="BH14" t="s">
        <v>135</v>
      </c>
      <c r="BL14" t="s">
        <v>151</v>
      </c>
      <c r="BN14" t="s">
        <v>119</v>
      </c>
    </row>
    <row r="15" spans="1:69" ht="15" customHeight="1" x14ac:dyDescent="0.25">
      <c r="A15" t="s">
        <v>134</v>
      </c>
      <c r="B15" t="s">
        <v>92</v>
      </c>
      <c r="C15" t="s">
        <v>148</v>
      </c>
      <c r="D15" t="s">
        <v>111</v>
      </c>
      <c r="E15" t="s">
        <v>92</v>
      </c>
      <c r="F15" t="s">
        <v>140</v>
      </c>
      <c r="H15" t="s">
        <v>140</v>
      </c>
      <c r="I15" t="s">
        <v>125</v>
      </c>
      <c r="J15" t="s">
        <v>153</v>
      </c>
      <c r="K15" t="s">
        <v>140</v>
      </c>
      <c r="L15" t="s">
        <v>140</v>
      </c>
      <c r="N15" t="s">
        <v>137</v>
      </c>
      <c r="O15" t="s">
        <v>111</v>
      </c>
      <c r="P15" t="s">
        <v>109</v>
      </c>
      <c r="Q15" t="s">
        <v>115</v>
      </c>
      <c r="R15" t="s">
        <v>109</v>
      </c>
      <c r="S15" t="s">
        <v>106</v>
      </c>
      <c r="T15" t="s">
        <v>111</v>
      </c>
      <c r="U15" t="s">
        <v>100</v>
      </c>
      <c r="V15" t="s">
        <v>134</v>
      </c>
      <c r="W15" t="s">
        <v>115</v>
      </c>
      <c r="X15" t="s">
        <v>154</v>
      </c>
      <c r="Y15" t="s">
        <v>124</v>
      </c>
      <c r="Z15" t="s">
        <v>109</v>
      </c>
      <c r="AA15" t="s">
        <v>121</v>
      </c>
      <c r="AB15" t="s">
        <v>155</v>
      </c>
      <c r="AC15" t="s">
        <v>137</v>
      </c>
      <c r="AD15" t="s">
        <v>119</v>
      </c>
      <c r="AE15" t="s">
        <v>128</v>
      </c>
      <c r="AF15" t="s">
        <v>128</v>
      </c>
      <c r="AG15" t="s">
        <v>128</v>
      </c>
      <c r="AH15" t="s">
        <v>92</v>
      </c>
      <c r="AI15" t="s">
        <v>124</v>
      </c>
      <c r="AJ15" t="s">
        <v>156</v>
      </c>
      <c r="AK15" t="s">
        <v>112</v>
      </c>
      <c r="AL15" t="s">
        <v>156</v>
      </c>
      <c r="AM15" t="s">
        <v>109</v>
      </c>
      <c r="AN15" t="s">
        <v>157</v>
      </c>
      <c r="AO15" t="s">
        <v>130</v>
      </c>
      <c r="AP15" t="s">
        <v>104</v>
      </c>
      <c r="AQ15" t="s">
        <v>152</v>
      </c>
      <c r="AR15" t="s">
        <v>104</v>
      </c>
      <c r="AS15" t="s">
        <v>119</v>
      </c>
      <c r="AT15" t="s">
        <v>107</v>
      </c>
      <c r="AU15" t="s">
        <v>140</v>
      </c>
      <c r="AV15" t="s">
        <v>103</v>
      </c>
      <c r="AW15" t="s">
        <v>106</v>
      </c>
      <c r="AX15" t="s">
        <v>111</v>
      </c>
      <c r="AY15" t="s">
        <v>148</v>
      </c>
      <c r="AZ15" t="s">
        <v>112</v>
      </c>
      <c r="BA15" t="s">
        <v>103</v>
      </c>
      <c r="BB15" t="s">
        <v>104</v>
      </c>
      <c r="BC15" t="s">
        <v>119</v>
      </c>
      <c r="BD15" t="s">
        <v>122</v>
      </c>
      <c r="BE15" t="s">
        <v>148</v>
      </c>
      <c r="BF15" t="s">
        <v>139</v>
      </c>
      <c r="BG15" t="s">
        <v>158</v>
      </c>
      <c r="BH15" t="s">
        <v>158</v>
      </c>
      <c r="BL15" t="s">
        <v>140</v>
      </c>
      <c r="BN15" t="s">
        <v>148</v>
      </c>
    </row>
    <row r="16" spans="1:69" ht="15" customHeight="1" x14ac:dyDescent="0.25">
      <c r="A16" t="s">
        <v>128</v>
      </c>
      <c r="B16" t="s">
        <v>134</v>
      </c>
      <c r="C16" t="s">
        <v>131</v>
      </c>
      <c r="D16" t="s">
        <v>120</v>
      </c>
      <c r="E16" t="s">
        <v>103</v>
      </c>
      <c r="F16" t="s">
        <v>159</v>
      </c>
      <c r="H16" t="s">
        <v>136</v>
      </c>
      <c r="I16" t="s">
        <v>140</v>
      </c>
      <c r="K16" t="s">
        <v>136</v>
      </c>
      <c r="L16" t="s">
        <v>136</v>
      </c>
      <c r="N16" t="s">
        <v>134</v>
      </c>
      <c r="O16" t="s">
        <v>120</v>
      </c>
      <c r="P16" t="s">
        <v>111</v>
      </c>
      <c r="Q16" t="s">
        <v>109</v>
      </c>
      <c r="R16" t="s">
        <v>103</v>
      </c>
      <c r="S16" t="s">
        <v>109</v>
      </c>
      <c r="T16" t="s">
        <v>137</v>
      </c>
      <c r="U16" t="s">
        <v>104</v>
      </c>
      <c r="V16" t="s">
        <v>140</v>
      </c>
      <c r="W16" t="s">
        <v>104</v>
      </c>
      <c r="X16" t="s">
        <v>160</v>
      </c>
      <c r="Z16" t="s">
        <v>111</v>
      </c>
      <c r="AA16" t="s">
        <v>120</v>
      </c>
      <c r="AB16" t="s">
        <v>137</v>
      </c>
      <c r="AC16" t="s">
        <v>92</v>
      </c>
      <c r="AD16" t="s">
        <v>128</v>
      </c>
      <c r="AE16" t="s">
        <v>119</v>
      </c>
      <c r="AF16" t="s">
        <v>136</v>
      </c>
      <c r="AG16" t="s">
        <v>159</v>
      </c>
      <c r="AH16" t="s">
        <v>146</v>
      </c>
      <c r="AI16" t="s">
        <v>161</v>
      </c>
      <c r="AJ16" t="s">
        <v>132</v>
      </c>
      <c r="AK16" t="s">
        <v>120</v>
      </c>
      <c r="AL16" t="s">
        <v>144</v>
      </c>
      <c r="AM16" t="s">
        <v>137</v>
      </c>
      <c r="AN16" t="s">
        <v>142</v>
      </c>
      <c r="AO16" t="s">
        <v>128</v>
      </c>
      <c r="AP16" t="s">
        <v>140</v>
      </c>
      <c r="AQ16" t="s">
        <v>125</v>
      </c>
      <c r="AR16" t="s">
        <v>112</v>
      </c>
      <c r="AS16" t="s">
        <v>132</v>
      </c>
      <c r="AT16" t="s">
        <v>104</v>
      </c>
      <c r="AU16" t="s">
        <v>137</v>
      </c>
      <c r="AV16" t="s">
        <v>125</v>
      </c>
      <c r="AW16" t="s">
        <v>142</v>
      </c>
      <c r="AX16" t="s">
        <v>121</v>
      </c>
      <c r="AY16" t="s">
        <v>136</v>
      </c>
      <c r="AZ16" t="s">
        <v>157</v>
      </c>
      <c r="BA16" t="s">
        <v>137</v>
      </c>
      <c r="BB16" t="s">
        <v>103</v>
      </c>
      <c r="BC16" t="s">
        <v>132</v>
      </c>
      <c r="BD16" t="s">
        <v>124</v>
      </c>
      <c r="BE16" t="s">
        <v>140</v>
      </c>
      <c r="BF16" t="s">
        <v>147</v>
      </c>
      <c r="BG16" t="s">
        <v>147</v>
      </c>
      <c r="BH16" t="s">
        <v>147</v>
      </c>
      <c r="BL16" t="s">
        <v>162</v>
      </c>
      <c r="BN16" t="s">
        <v>144</v>
      </c>
    </row>
    <row r="17" spans="1:64" ht="15" customHeight="1" x14ac:dyDescent="0.25">
      <c r="A17" t="s">
        <v>136</v>
      </c>
      <c r="B17" t="s">
        <v>126</v>
      </c>
      <c r="C17" t="s">
        <v>159</v>
      </c>
      <c r="D17" t="s">
        <v>134</v>
      </c>
      <c r="E17" t="s">
        <v>134</v>
      </c>
      <c r="F17" t="s">
        <v>124</v>
      </c>
      <c r="H17" t="s">
        <v>126</v>
      </c>
      <c r="I17" t="s">
        <v>152</v>
      </c>
      <c r="K17" t="s">
        <v>126</v>
      </c>
      <c r="L17" t="s">
        <v>120</v>
      </c>
      <c r="N17" t="s">
        <v>146</v>
      </c>
      <c r="O17" t="s">
        <v>131</v>
      </c>
      <c r="P17" t="s">
        <v>120</v>
      </c>
      <c r="Q17" t="s">
        <v>111</v>
      </c>
      <c r="R17" t="s">
        <v>137</v>
      </c>
      <c r="S17" t="s">
        <v>103</v>
      </c>
      <c r="T17" t="s">
        <v>131</v>
      </c>
      <c r="U17" t="s">
        <v>103</v>
      </c>
      <c r="V17" t="s">
        <v>128</v>
      </c>
      <c r="W17" t="s">
        <v>109</v>
      </c>
      <c r="X17" t="s">
        <v>163</v>
      </c>
      <c r="Z17" t="s">
        <v>120</v>
      </c>
      <c r="AA17" t="s">
        <v>128</v>
      </c>
      <c r="AB17" t="s">
        <v>146</v>
      </c>
      <c r="AC17" t="s">
        <v>131</v>
      </c>
      <c r="AD17" t="s">
        <v>122</v>
      </c>
      <c r="AE17" t="s">
        <v>153</v>
      </c>
      <c r="AF17" t="s">
        <v>140</v>
      </c>
      <c r="AG17" t="s">
        <v>122</v>
      </c>
      <c r="AH17" t="s">
        <v>140</v>
      </c>
      <c r="AJ17" t="s">
        <v>144</v>
      </c>
      <c r="AK17" t="s">
        <v>137</v>
      </c>
      <c r="AL17" t="s">
        <v>138</v>
      </c>
      <c r="AM17" t="s">
        <v>148</v>
      </c>
      <c r="AN17" t="s">
        <v>131</v>
      </c>
      <c r="AO17" t="s">
        <v>155</v>
      </c>
      <c r="AP17" t="s">
        <v>119</v>
      </c>
      <c r="AQ17" t="s">
        <v>146</v>
      </c>
      <c r="AR17" t="s">
        <v>157</v>
      </c>
      <c r="AS17" t="s">
        <v>150</v>
      </c>
      <c r="AT17" t="s">
        <v>111</v>
      </c>
      <c r="AU17" t="s">
        <v>122</v>
      </c>
      <c r="AV17" t="s">
        <v>140</v>
      </c>
      <c r="AW17" t="s">
        <v>94</v>
      </c>
      <c r="AX17" t="s">
        <v>120</v>
      </c>
      <c r="AY17" t="s">
        <v>159</v>
      </c>
      <c r="AZ17" t="s">
        <v>120</v>
      </c>
      <c r="BA17" t="s">
        <v>141</v>
      </c>
      <c r="BB17" t="s">
        <v>121</v>
      </c>
      <c r="BC17" t="s">
        <v>144</v>
      </c>
      <c r="BD17" t="s">
        <v>138</v>
      </c>
      <c r="BE17" t="s">
        <v>119</v>
      </c>
      <c r="BF17" t="s">
        <v>164</v>
      </c>
      <c r="BG17" t="s">
        <v>149</v>
      </c>
      <c r="BH17" t="s">
        <v>154</v>
      </c>
      <c r="BL17" t="s">
        <v>165</v>
      </c>
    </row>
    <row r="18" spans="1:64" ht="15" customHeight="1" x14ac:dyDescent="0.25">
      <c r="A18" t="s">
        <v>119</v>
      </c>
      <c r="B18" t="s">
        <v>150</v>
      </c>
      <c r="C18" t="s">
        <v>126</v>
      </c>
      <c r="D18" t="s">
        <v>148</v>
      </c>
      <c r="E18" t="s">
        <v>136</v>
      </c>
      <c r="F18" t="s">
        <v>153</v>
      </c>
      <c r="H18" t="s">
        <v>124</v>
      </c>
      <c r="I18" t="s">
        <v>159</v>
      </c>
      <c r="K18" t="s">
        <v>150</v>
      </c>
      <c r="L18" t="s">
        <v>150</v>
      </c>
      <c r="N18" t="s">
        <v>159</v>
      </c>
      <c r="O18" t="s">
        <v>162</v>
      </c>
      <c r="P18" t="s">
        <v>121</v>
      </c>
      <c r="Q18" t="s">
        <v>120</v>
      </c>
      <c r="R18" t="s">
        <v>111</v>
      </c>
      <c r="S18" t="s">
        <v>112</v>
      </c>
      <c r="T18" t="s">
        <v>128</v>
      </c>
      <c r="U18" t="s">
        <v>112</v>
      </c>
      <c r="V18" t="s">
        <v>136</v>
      </c>
      <c r="W18" t="s">
        <v>111</v>
      </c>
      <c r="X18" t="s">
        <v>166</v>
      </c>
      <c r="Z18" t="s">
        <v>128</v>
      </c>
      <c r="AA18" t="s">
        <v>131</v>
      </c>
      <c r="AB18" t="s">
        <v>148</v>
      </c>
      <c r="AC18" t="s">
        <v>136</v>
      </c>
      <c r="AD18" t="s">
        <v>144</v>
      </c>
      <c r="AE18" t="s">
        <v>135</v>
      </c>
      <c r="AF18" t="s">
        <v>126</v>
      </c>
      <c r="AG18" t="s">
        <v>144</v>
      </c>
      <c r="AH18" t="s">
        <v>159</v>
      </c>
      <c r="AK18" t="s">
        <v>148</v>
      </c>
      <c r="AL18" t="s">
        <v>153</v>
      </c>
      <c r="AM18" t="s">
        <v>140</v>
      </c>
      <c r="AN18" t="s">
        <v>128</v>
      </c>
      <c r="AO18" t="s">
        <v>119</v>
      </c>
      <c r="AP18" t="s">
        <v>128</v>
      </c>
      <c r="AQ18" t="s">
        <v>150</v>
      </c>
      <c r="AR18" t="s">
        <v>91</v>
      </c>
      <c r="AS18" t="s">
        <v>143</v>
      </c>
      <c r="AT18" t="s">
        <v>121</v>
      </c>
      <c r="AU18" t="s">
        <v>127</v>
      </c>
      <c r="AV18" t="s">
        <v>132</v>
      </c>
      <c r="AW18" t="s">
        <v>148</v>
      </c>
      <c r="AX18" t="s">
        <v>130</v>
      </c>
      <c r="AY18" t="s">
        <v>150</v>
      </c>
      <c r="AZ18" t="s">
        <v>151</v>
      </c>
      <c r="BA18" t="s">
        <v>151</v>
      </c>
      <c r="BB18" t="s">
        <v>141</v>
      </c>
      <c r="BC18" t="s">
        <v>143</v>
      </c>
      <c r="BD18" t="s">
        <v>167</v>
      </c>
      <c r="BE18" t="s">
        <v>143</v>
      </c>
      <c r="BH18" t="s">
        <v>168</v>
      </c>
      <c r="BL18" t="s">
        <v>150</v>
      </c>
    </row>
    <row r="19" spans="1:64" ht="15" customHeight="1" x14ac:dyDescent="0.25">
      <c r="A19" t="s">
        <v>152</v>
      </c>
      <c r="B19" t="s">
        <v>138</v>
      </c>
      <c r="C19" t="s">
        <v>124</v>
      </c>
      <c r="D19" t="s">
        <v>156</v>
      </c>
      <c r="E19" t="s">
        <v>119</v>
      </c>
      <c r="F19" t="s">
        <v>127</v>
      </c>
      <c r="H19" t="s">
        <v>153</v>
      </c>
      <c r="I19" t="s">
        <v>126</v>
      </c>
      <c r="L19" t="s">
        <v>143</v>
      </c>
      <c r="N19" t="s">
        <v>150</v>
      </c>
      <c r="O19" t="s">
        <v>150</v>
      </c>
      <c r="P19" t="s">
        <v>140</v>
      </c>
      <c r="Q19" t="s">
        <v>128</v>
      </c>
      <c r="R19" t="s">
        <v>140</v>
      </c>
      <c r="S19" t="s">
        <v>121</v>
      </c>
      <c r="T19" t="s">
        <v>119</v>
      </c>
      <c r="U19" t="s">
        <v>120</v>
      </c>
      <c r="V19" t="s">
        <v>137</v>
      </c>
      <c r="W19" t="s">
        <v>131</v>
      </c>
      <c r="X19" t="s">
        <v>169</v>
      </c>
      <c r="Z19" t="s">
        <v>162</v>
      </c>
      <c r="AA19" t="s">
        <v>122</v>
      </c>
      <c r="AB19" t="s">
        <v>122</v>
      </c>
      <c r="AC19" t="s">
        <v>119</v>
      </c>
      <c r="AD19" t="s">
        <v>143</v>
      </c>
      <c r="AE19" t="s">
        <v>139</v>
      </c>
      <c r="AF19" t="s">
        <v>150</v>
      </c>
      <c r="AG19" t="s">
        <v>124</v>
      </c>
      <c r="AH19" t="s">
        <v>126</v>
      </c>
      <c r="AK19" t="s">
        <v>159</v>
      </c>
      <c r="AL19" t="s">
        <v>143</v>
      </c>
      <c r="AM19" t="s">
        <v>159</v>
      </c>
      <c r="AN19" t="s">
        <v>136</v>
      </c>
      <c r="AO19" t="s">
        <v>148</v>
      </c>
      <c r="AP19" t="s">
        <v>150</v>
      </c>
      <c r="AQ19" t="s">
        <v>143</v>
      </c>
      <c r="AR19" t="s">
        <v>142</v>
      </c>
      <c r="AS19" t="s">
        <v>144</v>
      </c>
      <c r="AT19" t="s">
        <v>120</v>
      </c>
      <c r="AU19" t="s">
        <v>135</v>
      </c>
      <c r="AV19" t="s">
        <v>167</v>
      </c>
      <c r="AW19" t="s">
        <v>140</v>
      </c>
      <c r="AX19" t="s">
        <v>136</v>
      </c>
      <c r="AY19" t="s">
        <v>138</v>
      </c>
      <c r="AZ19" t="s">
        <v>140</v>
      </c>
      <c r="BA19" t="s">
        <v>140</v>
      </c>
      <c r="BB19" t="s">
        <v>155</v>
      </c>
      <c r="BC19" t="s">
        <v>153</v>
      </c>
      <c r="BD19" t="s">
        <v>145</v>
      </c>
      <c r="BE19" t="s">
        <v>153</v>
      </c>
      <c r="BH19" t="s">
        <v>166</v>
      </c>
      <c r="BL19" t="s">
        <v>138</v>
      </c>
    </row>
    <row r="20" spans="1:64" ht="15" customHeight="1" x14ac:dyDescent="0.25">
      <c r="A20" t="s">
        <v>156</v>
      </c>
      <c r="B20" t="s">
        <v>127</v>
      </c>
      <c r="C20" t="s">
        <v>138</v>
      </c>
      <c r="D20" t="s">
        <v>126</v>
      </c>
      <c r="E20" t="s">
        <v>150</v>
      </c>
      <c r="H20" t="s">
        <v>145</v>
      </c>
      <c r="I20" t="s">
        <v>124</v>
      </c>
      <c r="L20" t="s">
        <v>153</v>
      </c>
      <c r="N20" t="s">
        <v>124</v>
      </c>
      <c r="O20" t="s">
        <v>124</v>
      </c>
      <c r="P20" t="s">
        <v>128</v>
      </c>
      <c r="Q20" t="s">
        <v>122</v>
      </c>
      <c r="R20" t="s">
        <v>148</v>
      </c>
      <c r="S20" t="s">
        <v>94</v>
      </c>
      <c r="T20" t="s">
        <v>150</v>
      </c>
      <c r="U20" t="s">
        <v>109</v>
      </c>
      <c r="V20" t="s">
        <v>119</v>
      </c>
      <c r="W20" t="s">
        <v>128</v>
      </c>
      <c r="X20" t="s">
        <v>170</v>
      </c>
      <c r="Z20" t="s">
        <v>119</v>
      </c>
      <c r="AA20" t="s">
        <v>144</v>
      </c>
      <c r="AB20" t="s">
        <v>144</v>
      </c>
      <c r="AC20" t="s">
        <v>146</v>
      </c>
      <c r="AD20" t="s">
        <v>127</v>
      </c>
      <c r="AE20" t="s">
        <v>149</v>
      </c>
      <c r="AF20" t="s">
        <v>161</v>
      </c>
      <c r="AG20" t="s">
        <v>138</v>
      </c>
      <c r="AH20" t="s">
        <v>144</v>
      </c>
      <c r="AK20" t="s">
        <v>122</v>
      </c>
      <c r="AL20" t="s">
        <v>145</v>
      </c>
      <c r="AM20" t="s">
        <v>126</v>
      </c>
      <c r="AN20" t="s">
        <v>148</v>
      </c>
      <c r="AO20" t="s">
        <v>126</v>
      </c>
      <c r="AP20" t="s">
        <v>138</v>
      </c>
      <c r="AQ20" t="s">
        <v>144</v>
      </c>
      <c r="AR20" t="s">
        <v>140</v>
      </c>
      <c r="AS20" t="s">
        <v>153</v>
      </c>
      <c r="AT20" t="s">
        <v>130</v>
      </c>
      <c r="AU20" t="s">
        <v>158</v>
      </c>
      <c r="AW20" t="s">
        <v>122</v>
      </c>
      <c r="AX20" t="s">
        <v>119</v>
      </c>
      <c r="AY20" t="s">
        <v>145</v>
      </c>
      <c r="AZ20" t="s">
        <v>148</v>
      </c>
      <c r="BA20" t="s">
        <v>157</v>
      </c>
      <c r="BB20" t="s">
        <v>128</v>
      </c>
      <c r="BC20" t="s">
        <v>135</v>
      </c>
      <c r="BD20" t="s">
        <v>135</v>
      </c>
      <c r="BE20" t="s">
        <v>145</v>
      </c>
      <c r="BH20" t="s">
        <v>171</v>
      </c>
      <c r="BL20" t="s">
        <v>153</v>
      </c>
    </row>
    <row r="21" spans="1:64" ht="15" customHeight="1" x14ac:dyDescent="0.25">
      <c r="A21" t="s">
        <v>124</v>
      </c>
      <c r="C21" t="s">
        <v>153</v>
      </c>
      <c r="D21" t="s">
        <v>124</v>
      </c>
      <c r="E21" t="s">
        <v>135</v>
      </c>
      <c r="I21" t="s">
        <v>138</v>
      </c>
      <c r="N21" t="s">
        <v>138</v>
      </c>
      <c r="O21" t="s">
        <v>143</v>
      </c>
      <c r="P21" t="s">
        <v>162</v>
      </c>
      <c r="Q21" t="s">
        <v>132</v>
      </c>
      <c r="R21" t="s">
        <v>104</v>
      </c>
      <c r="S21" t="s">
        <v>155</v>
      </c>
      <c r="T21" t="s">
        <v>124</v>
      </c>
      <c r="U21" t="s">
        <v>140</v>
      </c>
      <c r="V21" t="s">
        <v>159</v>
      </c>
      <c r="W21" t="s">
        <v>159</v>
      </c>
      <c r="Z21" t="s">
        <v>150</v>
      </c>
      <c r="AA21" t="s">
        <v>138</v>
      </c>
      <c r="AB21" t="s">
        <v>143</v>
      </c>
      <c r="AC21" t="s">
        <v>124</v>
      </c>
      <c r="AG21" t="s">
        <v>143</v>
      </c>
      <c r="AH21" t="s">
        <v>124</v>
      </c>
      <c r="AK21" t="s">
        <v>144</v>
      </c>
      <c r="AL21" t="s">
        <v>127</v>
      </c>
      <c r="AM21" t="s">
        <v>150</v>
      </c>
      <c r="AN21" t="s">
        <v>156</v>
      </c>
      <c r="AO21" t="s">
        <v>165</v>
      </c>
      <c r="AP21" t="s">
        <v>153</v>
      </c>
      <c r="AR21" t="s">
        <v>120</v>
      </c>
      <c r="AS21" t="s">
        <v>158</v>
      </c>
      <c r="AT21" t="s">
        <v>136</v>
      </c>
      <c r="AU21" t="s">
        <v>147</v>
      </c>
      <c r="AW21" t="s">
        <v>124</v>
      </c>
      <c r="AX21" t="s">
        <v>150</v>
      </c>
      <c r="AZ21" t="s">
        <v>126</v>
      </c>
      <c r="BA21" t="s">
        <v>119</v>
      </c>
      <c r="BB21" t="s">
        <v>156</v>
      </c>
      <c r="BC21" t="s">
        <v>158</v>
      </c>
      <c r="BD21" t="s">
        <v>158</v>
      </c>
      <c r="BE21" t="s">
        <v>127</v>
      </c>
      <c r="BH21" t="s">
        <v>172</v>
      </c>
    </row>
    <row r="22" spans="1:64" ht="15" customHeight="1" x14ac:dyDescent="0.25">
      <c r="A22" t="s">
        <v>143</v>
      </c>
      <c r="C22" t="s">
        <v>145</v>
      </c>
      <c r="D22" t="s">
        <v>138</v>
      </c>
      <c r="E22" t="s">
        <v>127</v>
      </c>
      <c r="I22" t="s">
        <v>153</v>
      </c>
      <c r="N22" t="s">
        <v>167</v>
      </c>
      <c r="O22" t="s">
        <v>145</v>
      </c>
      <c r="P22" t="s">
        <v>159</v>
      </c>
      <c r="Q22" t="s">
        <v>144</v>
      </c>
      <c r="R22" t="s">
        <v>122</v>
      </c>
      <c r="S22" t="s">
        <v>128</v>
      </c>
      <c r="T22" t="s">
        <v>153</v>
      </c>
      <c r="U22" t="s">
        <v>136</v>
      </c>
      <c r="V22" t="s">
        <v>144</v>
      </c>
      <c r="W22" t="s">
        <v>144</v>
      </c>
      <c r="Z22" t="s">
        <v>124</v>
      </c>
      <c r="AA22" t="s">
        <v>127</v>
      </c>
      <c r="AB22" t="s">
        <v>167</v>
      </c>
      <c r="AC22" t="s">
        <v>143</v>
      </c>
      <c r="AG22" t="s">
        <v>127</v>
      </c>
      <c r="AH22" t="s">
        <v>138</v>
      </c>
      <c r="AK22" t="s">
        <v>143</v>
      </c>
      <c r="AL22" t="s">
        <v>158</v>
      </c>
      <c r="AM22" t="s">
        <v>124</v>
      </c>
      <c r="AN22" t="s">
        <v>146</v>
      </c>
      <c r="AO22" t="s">
        <v>150</v>
      </c>
      <c r="AR22" t="s">
        <v>156</v>
      </c>
      <c r="AT22" t="s">
        <v>119</v>
      </c>
      <c r="AU22" t="s">
        <v>154</v>
      </c>
      <c r="AW22" t="s">
        <v>138</v>
      </c>
      <c r="AX22" t="s">
        <v>138</v>
      </c>
      <c r="AZ22" t="s">
        <v>150</v>
      </c>
      <c r="BA22" t="s">
        <v>148</v>
      </c>
      <c r="BB22" t="s">
        <v>165</v>
      </c>
      <c r="BC22" t="s">
        <v>139</v>
      </c>
      <c r="BD22" t="s">
        <v>147</v>
      </c>
    </row>
    <row r="23" spans="1:64" ht="15" customHeight="1" x14ac:dyDescent="0.25">
      <c r="A23" t="s">
        <v>135</v>
      </c>
      <c r="C23" t="s">
        <v>127</v>
      </c>
      <c r="D23" t="s">
        <v>145</v>
      </c>
      <c r="E23" t="s">
        <v>139</v>
      </c>
      <c r="I23" t="s">
        <v>143</v>
      </c>
      <c r="P23" t="s">
        <v>150</v>
      </c>
      <c r="Q23" t="s">
        <v>161</v>
      </c>
      <c r="R23" t="s">
        <v>132</v>
      </c>
      <c r="S23" t="s">
        <v>156</v>
      </c>
      <c r="T23" t="s">
        <v>135</v>
      </c>
      <c r="U23" t="s">
        <v>119</v>
      </c>
      <c r="V23" t="s">
        <v>143</v>
      </c>
      <c r="W23" t="s">
        <v>138</v>
      </c>
      <c r="Z23" t="s">
        <v>138</v>
      </c>
      <c r="AB23" t="s">
        <v>158</v>
      </c>
      <c r="AC23" t="s">
        <v>167</v>
      </c>
      <c r="AG23" t="s">
        <v>139</v>
      </c>
      <c r="AH23" t="s">
        <v>135</v>
      </c>
      <c r="AK23" t="s">
        <v>138</v>
      </c>
      <c r="AL23" t="s">
        <v>139</v>
      </c>
      <c r="AM23" t="s">
        <v>145</v>
      </c>
      <c r="AN23" t="s">
        <v>153</v>
      </c>
      <c r="AO23" t="s">
        <v>143</v>
      </c>
      <c r="AR23" t="s">
        <v>126</v>
      </c>
      <c r="AT23" t="s">
        <v>165</v>
      </c>
      <c r="AU23" t="s">
        <v>168</v>
      </c>
      <c r="AX23" t="s">
        <v>153</v>
      </c>
      <c r="AZ23" t="s">
        <v>153</v>
      </c>
      <c r="BA23" t="s">
        <v>150</v>
      </c>
      <c r="BB23" t="s">
        <v>150</v>
      </c>
      <c r="BD23" t="s">
        <v>154</v>
      </c>
    </row>
    <row r="24" spans="1:64" ht="15" customHeight="1" x14ac:dyDescent="0.25">
      <c r="A24" t="s">
        <v>139</v>
      </c>
      <c r="C24" t="s">
        <v>158</v>
      </c>
      <c r="E24" t="s">
        <v>149</v>
      </c>
      <c r="I24" t="s">
        <v>145</v>
      </c>
      <c r="P24" t="s">
        <v>124</v>
      </c>
      <c r="Q24" t="s">
        <v>143</v>
      </c>
      <c r="R24" t="s">
        <v>144</v>
      </c>
      <c r="S24" t="s">
        <v>122</v>
      </c>
      <c r="U24" t="s">
        <v>150</v>
      </c>
      <c r="V24" t="s">
        <v>127</v>
      </c>
      <c r="W24" t="s">
        <v>145</v>
      </c>
      <c r="Z24" t="s">
        <v>135</v>
      </c>
      <c r="AB24" t="s">
        <v>147</v>
      </c>
      <c r="AG24" t="s">
        <v>147</v>
      </c>
      <c r="AH24" t="s">
        <v>158</v>
      </c>
      <c r="AK24" t="s">
        <v>167</v>
      </c>
      <c r="AL24" t="s">
        <v>164</v>
      </c>
      <c r="AM24" t="s">
        <v>158</v>
      </c>
      <c r="AN24" t="s">
        <v>138</v>
      </c>
      <c r="AO24" t="s">
        <v>153</v>
      </c>
      <c r="AR24" t="s">
        <v>124</v>
      </c>
      <c r="AT24" t="s">
        <v>144</v>
      </c>
      <c r="AU24" t="s">
        <v>166</v>
      </c>
      <c r="AX24" t="s">
        <v>143</v>
      </c>
      <c r="AZ24" t="s">
        <v>138</v>
      </c>
      <c r="BA24" t="s">
        <v>143</v>
      </c>
      <c r="BB24" t="s">
        <v>143</v>
      </c>
      <c r="BD24" t="s">
        <v>163</v>
      </c>
    </row>
    <row r="25" spans="1:64" ht="15" customHeight="1" x14ac:dyDescent="0.25">
      <c r="A25" t="s">
        <v>149</v>
      </c>
      <c r="C25" t="s">
        <v>147</v>
      </c>
      <c r="E25" t="s">
        <v>154</v>
      </c>
      <c r="I25" t="s">
        <v>127</v>
      </c>
      <c r="P25" t="s">
        <v>153</v>
      </c>
      <c r="R25" t="s">
        <v>143</v>
      </c>
      <c r="S25" t="s">
        <v>144</v>
      </c>
      <c r="U25" t="s">
        <v>124</v>
      </c>
      <c r="W25" t="s">
        <v>127</v>
      </c>
      <c r="AB25" t="s">
        <v>154</v>
      </c>
      <c r="AG25" t="s">
        <v>149</v>
      </c>
      <c r="AK25" t="s">
        <v>145</v>
      </c>
      <c r="AL25" t="s">
        <v>160</v>
      </c>
      <c r="AN25" t="s">
        <v>135</v>
      </c>
      <c r="AO25" t="s">
        <v>158</v>
      </c>
      <c r="AR25" t="s">
        <v>153</v>
      </c>
      <c r="AT25" t="s">
        <v>143</v>
      </c>
      <c r="AU25" t="s">
        <v>171</v>
      </c>
      <c r="AX25" t="s">
        <v>145</v>
      </c>
      <c r="AZ25" t="s">
        <v>144</v>
      </c>
      <c r="BA25" t="s">
        <v>153</v>
      </c>
      <c r="BB25" t="s">
        <v>153</v>
      </c>
    </row>
    <row r="26" spans="1:64" ht="15.75" customHeight="1" x14ac:dyDescent="0.25">
      <c r="A26" t="s">
        <v>173</v>
      </c>
      <c r="C26" t="s">
        <v>173</v>
      </c>
      <c r="E26" t="s">
        <v>168</v>
      </c>
      <c r="I26" t="s">
        <v>158</v>
      </c>
      <c r="P26" t="s">
        <v>145</v>
      </c>
      <c r="R26" t="s">
        <v>161</v>
      </c>
      <c r="S26" t="s">
        <v>143</v>
      </c>
      <c r="U26" t="s">
        <v>153</v>
      </c>
      <c r="W26" t="s">
        <v>147</v>
      </c>
      <c r="AK26" t="s">
        <v>139</v>
      </c>
      <c r="AL26" t="s">
        <v>174</v>
      </c>
      <c r="AN26" t="s">
        <v>139</v>
      </c>
      <c r="AO26" t="s">
        <v>139</v>
      </c>
      <c r="AR26" t="s">
        <v>135</v>
      </c>
      <c r="AT26" t="s">
        <v>153</v>
      </c>
      <c r="AU26" t="s">
        <v>175</v>
      </c>
      <c r="AX26" t="s">
        <v>139</v>
      </c>
      <c r="AZ26" t="s">
        <v>167</v>
      </c>
      <c r="BA26" t="s">
        <v>145</v>
      </c>
      <c r="BB26" t="s">
        <v>127</v>
      </c>
    </row>
    <row r="27" spans="1:64" ht="15" customHeight="1" x14ac:dyDescent="0.25">
      <c r="A27" t="s">
        <v>174</v>
      </c>
      <c r="C27" t="s">
        <v>168</v>
      </c>
      <c r="E27" t="s">
        <v>163</v>
      </c>
      <c r="I27" t="s">
        <v>147</v>
      </c>
      <c r="R27" t="s">
        <v>145</v>
      </c>
      <c r="S27" t="s">
        <v>138</v>
      </c>
      <c r="U27" t="s">
        <v>145</v>
      </c>
      <c r="W27" t="s">
        <v>149</v>
      </c>
      <c r="AK27" t="s">
        <v>147</v>
      </c>
      <c r="AL27" t="s">
        <v>166</v>
      </c>
      <c r="AN27" t="s">
        <v>164</v>
      </c>
      <c r="AO27" t="s">
        <v>154</v>
      </c>
      <c r="AR27" t="s">
        <v>139</v>
      </c>
      <c r="AT27" t="s">
        <v>167</v>
      </c>
      <c r="AX27" t="s">
        <v>147</v>
      </c>
      <c r="AZ27" t="s">
        <v>127</v>
      </c>
      <c r="BA27" t="s">
        <v>127</v>
      </c>
    </row>
    <row r="28" spans="1:64" ht="15" customHeight="1" x14ac:dyDescent="0.25">
      <c r="A28" t="s">
        <v>163</v>
      </c>
      <c r="C28" t="s">
        <v>163</v>
      </c>
      <c r="I28" t="s">
        <v>173</v>
      </c>
      <c r="R28" t="s">
        <v>127</v>
      </c>
      <c r="S28" t="s">
        <v>145</v>
      </c>
      <c r="W28" t="s">
        <v>158</v>
      </c>
      <c r="AK28" t="s">
        <v>149</v>
      </c>
      <c r="AN28" t="s">
        <v>168</v>
      </c>
      <c r="AR28" t="s">
        <v>164</v>
      </c>
      <c r="AX28" t="s">
        <v>149</v>
      </c>
      <c r="AZ28" t="s">
        <v>158</v>
      </c>
      <c r="BA28" t="s">
        <v>147</v>
      </c>
    </row>
    <row r="29" spans="1:64" ht="15" customHeight="1" x14ac:dyDescent="0.25">
      <c r="A29" t="s">
        <v>166</v>
      </c>
      <c r="C29" t="s">
        <v>171</v>
      </c>
      <c r="I29" t="s">
        <v>174</v>
      </c>
      <c r="R29" t="s">
        <v>135</v>
      </c>
      <c r="S29" t="s">
        <v>158</v>
      </c>
      <c r="AN29" t="s">
        <v>174</v>
      </c>
      <c r="AR29" t="s">
        <v>168</v>
      </c>
      <c r="AX29" t="s">
        <v>160</v>
      </c>
      <c r="AZ29" t="s">
        <v>139</v>
      </c>
      <c r="BA29" t="s">
        <v>149</v>
      </c>
    </row>
    <row r="30" spans="1:64" ht="15" customHeight="1" x14ac:dyDescent="0.25">
      <c r="A30" t="s">
        <v>172</v>
      </c>
      <c r="C30" t="s">
        <v>172</v>
      </c>
      <c r="I30" t="s">
        <v>166</v>
      </c>
      <c r="R30" t="s">
        <v>139</v>
      </c>
      <c r="S30" t="s">
        <v>139</v>
      </c>
      <c r="AN30" t="s">
        <v>163</v>
      </c>
      <c r="AR30" t="s">
        <v>163</v>
      </c>
      <c r="AX30" t="s">
        <v>163</v>
      </c>
      <c r="AZ30" t="s">
        <v>154</v>
      </c>
      <c r="BA30" t="s">
        <v>160</v>
      </c>
    </row>
    <row r="31" spans="1:64" ht="15" customHeight="1" x14ac:dyDescent="0.25">
      <c r="A31" t="s">
        <v>175</v>
      </c>
      <c r="I31" t="s">
        <v>171</v>
      </c>
      <c r="R31" t="s">
        <v>147</v>
      </c>
      <c r="S31" t="s">
        <v>147</v>
      </c>
      <c r="AN31" t="s">
        <v>172</v>
      </c>
      <c r="AX31" t="s">
        <v>166</v>
      </c>
      <c r="AZ31" t="s">
        <v>174</v>
      </c>
      <c r="BA31" t="s">
        <v>174</v>
      </c>
    </row>
    <row r="32" spans="1:64" ht="15" customHeight="1" x14ac:dyDescent="0.25">
      <c r="I32" t="s">
        <v>175</v>
      </c>
      <c r="R32" t="s">
        <v>149</v>
      </c>
      <c r="S32" t="s">
        <v>149</v>
      </c>
      <c r="AN32" t="s">
        <v>175</v>
      </c>
      <c r="AX32" t="s">
        <v>169</v>
      </c>
      <c r="BA32" t="s">
        <v>166</v>
      </c>
    </row>
    <row r="33" spans="18:53" ht="15" customHeight="1" x14ac:dyDescent="0.25">
      <c r="R33" t="s">
        <v>168</v>
      </c>
      <c r="S33" t="s">
        <v>173</v>
      </c>
      <c r="AX33" t="s">
        <v>170</v>
      </c>
      <c r="BA33" t="s">
        <v>169</v>
      </c>
    </row>
    <row r="34" spans="18:53" ht="15" customHeight="1" x14ac:dyDescent="0.25">
      <c r="R34" t="s">
        <v>174</v>
      </c>
      <c r="S34" t="s">
        <v>168</v>
      </c>
      <c r="BA34" t="s">
        <v>170</v>
      </c>
    </row>
    <row r="35" spans="18:53" ht="15" customHeight="1" x14ac:dyDescent="0.25">
      <c r="R35" t="s">
        <v>169</v>
      </c>
      <c r="S35" t="s">
        <v>174</v>
      </c>
    </row>
    <row r="36" spans="18:53" ht="15" customHeight="1" x14ac:dyDescent="0.25">
      <c r="R36" t="s">
        <v>170</v>
      </c>
    </row>
    <row r="37" spans="18:53" ht="15" customHeight="1" x14ac:dyDescent="0.25"/>
    <row r="38" spans="18:53" ht="15" customHeight="1" x14ac:dyDescent="0.25"/>
    <row r="39" spans="18:53" ht="15" customHeight="1" x14ac:dyDescent="0.25"/>
    <row r="40" spans="18:53" ht="15" customHeight="1" x14ac:dyDescent="0.25"/>
    <row r="41" spans="18:53" ht="15" customHeight="1" x14ac:dyDescent="0.25"/>
    <row r="42" spans="18:53" ht="15" customHeight="1" x14ac:dyDescent="0.25"/>
    <row r="43" spans="18:53" ht="15" customHeight="1" x14ac:dyDescent="0.25"/>
    <row r="44" spans="18:53" ht="15" customHeight="1" x14ac:dyDescent="0.25"/>
    <row r="45" spans="18:53" ht="15" customHeight="1" x14ac:dyDescent="0.25"/>
    <row r="46" spans="18:53" ht="15" customHeight="1" x14ac:dyDescent="0.25"/>
    <row r="47" spans="18:53" ht="15" customHeight="1" x14ac:dyDescent="0.25"/>
    <row r="48" spans="18:53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conditionalFormatting sqref="A4:BM27 BN4:XFD32 A28:AZ29 BA28:BA31 BB28:BM32 AZ30:AZ31 A30:AY32">
    <cfRule type="expression" dxfId="0" priority="6">
      <formula>A4 &gt; "2025-03-05"</formula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Y42"/>
  <sheetViews>
    <sheetView topLeftCell="BZ1" zoomScaleNormal="100" workbookViewId="0">
      <selection activeCell="CZ1" sqref="CZ1:CZ1048576"/>
    </sheetView>
  </sheetViews>
  <sheetFormatPr defaultRowHeight="14.45" customHeight="1" x14ac:dyDescent="0.25"/>
  <cols>
    <col min="1" max="1" width="10.5703125" customWidth="1"/>
    <col min="2" max="3" width="12" customWidth="1"/>
    <col min="4" max="4" width="17.42578125" customWidth="1"/>
    <col min="5" max="5" width="15.5703125" customWidth="1"/>
    <col min="6" max="6" width="16" customWidth="1"/>
    <col min="7" max="7" width="13" customWidth="1"/>
    <col min="8" max="8" width="13.7109375" customWidth="1"/>
    <col min="9" max="9" width="13.42578125" customWidth="1"/>
    <col min="11" max="11" width="19" customWidth="1"/>
    <col min="12" max="12" width="12.85546875" customWidth="1"/>
    <col min="13" max="13" width="19.5703125" customWidth="1"/>
    <col min="14" max="14" width="20.42578125" customWidth="1"/>
    <col min="16" max="16" width="20.28515625" customWidth="1"/>
    <col min="17" max="17" width="15.85546875" customWidth="1"/>
    <col min="19" max="19" width="30.42578125" customWidth="1"/>
    <col min="22" max="22" width="17.42578125" customWidth="1"/>
    <col min="25" max="25" width="22.85546875" customWidth="1"/>
    <col min="29" max="29" width="19" customWidth="1"/>
    <col min="30" max="30" width="10.7109375" customWidth="1"/>
    <col min="33" max="33" width="13.7109375" customWidth="1"/>
    <col min="34" max="34" width="14.140625" customWidth="1"/>
    <col min="35" max="35" width="14.5703125" customWidth="1"/>
    <col min="38" max="38" width="15.5703125" customWidth="1"/>
    <col min="40" max="40" width="15.42578125" customWidth="1"/>
    <col min="41" max="41" width="23.28515625" customWidth="1"/>
    <col min="43" max="43" width="11.42578125" customWidth="1"/>
    <col min="45" max="45" width="12.85546875" customWidth="1"/>
    <col min="47" max="47" width="15.7109375" customWidth="1"/>
    <col min="48" max="48" width="14" customWidth="1"/>
    <col min="49" max="49" width="16.5703125" customWidth="1"/>
    <col min="52" max="52" width="12.140625" customWidth="1"/>
    <col min="56" max="56" width="28.5703125" customWidth="1"/>
    <col min="57" max="57" width="18.28515625" customWidth="1"/>
    <col min="58" max="58" width="13.140625" customWidth="1"/>
    <col min="59" max="59" width="11" customWidth="1"/>
    <col min="60" max="60" width="12.7109375" customWidth="1"/>
    <col min="64" max="64" width="13.85546875" customWidth="1"/>
    <col min="65" max="65" width="14.85546875" customWidth="1"/>
    <col min="66" max="66" width="15" customWidth="1"/>
    <col min="70" max="70" width="17.140625" customWidth="1"/>
    <col min="72" max="72" width="24.140625" customWidth="1"/>
    <col min="73" max="73" width="18.42578125" customWidth="1"/>
    <col min="81" max="81" width="13.7109375" customWidth="1"/>
    <col min="83" max="83" width="17.28515625" customWidth="1"/>
  </cols>
  <sheetData>
    <row r="3" spans="1:103" ht="15" customHeight="1" x14ac:dyDescent="0.25">
      <c r="A3" t="s">
        <v>73</v>
      </c>
      <c r="B3" t="s">
        <v>78</v>
      </c>
      <c r="C3" t="s">
        <v>83</v>
      </c>
      <c r="D3" t="s">
        <v>74</v>
      </c>
      <c r="E3" t="s">
        <v>85</v>
      </c>
      <c r="F3" t="s">
        <v>75</v>
      </c>
      <c r="G3" t="s">
        <v>76</v>
      </c>
      <c r="H3" t="s">
        <v>87</v>
      </c>
      <c r="I3" t="s">
        <v>97</v>
      </c>
      <c r="J3" t="s">
        <v>99</v>
      </c>
      <c r="K3" t="s">
        <v>84</v>
      </c>
      <c r="L3" t="s">
        <v>80</v>
      </c>
      <c r="M3" t="s">
        <v>96</v>
      </c>
      <c r="N3" t="s">
        <v>98</v>
      </c>
      <c r="O3" t="s">
        <v>108</v>
      </c>
      <c r="P3" t="s">
        <v>79</v>
      </c>
      <c r="Q3" t="s">
        <v>82</v>
      </c>
      <c r="R3" t="s">
        <v>88</v>
      </c>
      <c r="S3" t="s">
        <v>101</v>
      </c>
      <c r="T3" t="s">
        <v>86</v>
      </c>
      <c r="U3" t="s">
        <v>81</v>
      </c>
      <c r="V3" t="s">
        <v>90</v>
      </c>
      <c r="W3" t="s">
        <v>77</v>
      </c>
      <c r="X3" t="s">
        <v>110</v>
      </c>
      <c r="Y3" t="s">
        <v>89</v>
      </c>
      <c r="Z3" t="s">
        <v>93</v>
      </c>
      <c r="AA3" t="s">
        <v>105</v>
      </c>
      <c r="AB3" t="s">
        <v>100</v>
      </c>
      <c r="AC3" t="s">
        <v>113</v>
      </c>
      <c r="AD3" t="s">
        <v>91</v>
      </c>
      <c r="AE3" t="s">
        <v>102</v>
      </c>
      <c r="AF3" t="s">
        <v>107</v>
      </c>
      <c r="AG3" t="s">
        <v>141</v>
      </c>
      <c r="AH3" t="s">
        <v>116</v>
      </c>
      <c r="AI3" t="s">
        <v>95</v>
      </c>
      <c r="AJ3" t="s">
        <v>123</v>
      </c>
      <c r="AK3" t="s">
        <v>114</v>
      </c>
      <c r="AL3" t="s">
        <v>118</v>
      </c>
      <c r="AM3" t="s">
        <v>106</v>
      </c>
      <c r="AN3" t="s">
        <v>115</v>
      </c>
      <c r="AO3" t="s">
        <v>94</v>
      </c>
      <c r="AP3" t="s">
        <v>129</v>
      </c>
      <c r="AQ3" t="s">
        <v>133</v>
      </c>
      <c r="AR3" t="s">
        <v>117</v>
      </c>
      <c r="AS3" t="s">
        <v>92</v>
      </c>
      <c r="AT3" t="s">
        <v>104</v>
      </c>
      <c r="AU3" t="s">
        <v>109</v>
      </c>
      <c r="AV3" t="s">
        <v>103</v>
      </c>
      <c r="AW3" t="s">
        <v>111</v>
      </c>
      <c r="AX3" t="s">
        <v>112</v>
      </c>
      <c r="AY3" t="s">
        <v>157</v>
      </c>
      <c r="AZ3" t="s">
        <v>121</v>
      </c>
      <c r="BA3" t="s">
        <v>137</v>
      </c>
      <c r="BB3" t="s">
        <v>134</v>
      </c>
      <c r="BC3" t="s">
        <v>120</v>
      </c>
      <c r="BD3" t="s">
        <v>142</v>
      </c>
      <c r="BE3" t="s">
        <v>155</v>
      </c>
      <c r="BF3" t="s">
        <v>152</v>
      </c>
      <c r="BG3" t="s">
        <v>148</v>
      </c>
      <c r="BH3" t="s">
        <v>125</v>
      </c>
      <c r="BI3" t="s">
        <v>151</v>
      </c>
      <c r="BJ3" t="s">
        <v>131</v>
      </c>
      <c r="BK3" t="s">
        <v>140</v>
      </c>
      <c r="BL3" t="s">
        <v>130</v>
      </c>
      <c r="BM3" t="s">
        <v>128</v>
      </c>
      <c r="BN3" t="s">
        <v>136</v>
      </c>
      <c r="BO3" t="s">
        <v>156</v>
      </c>
      <c r="BP3" t="s">
        <v>159</v>
      </c>
      <c r="BQ3" t="s">
        <v>146</v>
      </c>
      <c r="BR3" t="s">
        <v>162</v>
      </c>
      <c r="BS3" t="s">
        <v>119</v>
      </c>
      <c r="BT3" t="s">
        <v>132</v>
      </c>
      <c r="BU3" t="s">
        <v>122</v>
      </c>
      <c r="BV3" t="s">
        <v>126</v>
      </c>
      <c r="BW3" t="s">
        <v>165</v>
      </c>
      <c r="BX3" t="s">
        <v>150</v>
      </c>
      <c r="BY3" t="s">
        <v>144</v>
      </c>
      <c r="BZ3" t="s">
        <v>124</v>
      </c>
      <c r="CA3" t="s">
        <v>143</v>
      </c>
      <c r="CB3" t="s">
        <v>138</v>
      </c>
      <c r="CC3" t="s">
        <v>153</v>
      </c>
      <c r="CD3" t="s">
        <v>161</v>
      </c>
      <c r="CE3" t="s">
        <v>167</v>
      </c>
      <c r="CF3" t="s">
        <v>145</v>
      </c>
      <c r="CG3" t="s">
        <v>127</v>
      </c>
      <c r="CH3" t="s">
        <v>135</v>
      </c>
      <c r="CI3" t="s">
        <v>158</v>
      </c>
      <c r="CJ3" t="s">
        <v>139</v>
      </c>
      <c r="CK3" t="s">
        <v>147</v>
      </c>
      <c r="CL3" t="s">
        <v>149</v>
      </c>
      <c r="CM3" t="s">
        <v>164</v>
      </c>
      <c r="CN3" t="s">
        <v>154</v>
      </c>
      <c r="CO3" t="s">
        <v>173</v>
      </c>
      <c r="CP3" t="s">
        <v>160</v>
      </c>
      <c r="CQ3" t="s">
        <v>168</v>
      </c>
      <c r="CR3" t="s">
        <v>174</v>
      </c>
      <c r="CS3" t="s">
        <v>163</v>
      </c>
      <c r="CT3" t="s">
        <v>166</v>
      </c>
      <c r="CU3" t="s">
        <v>171</v>
      </c>
      <c r="CV3" t="s">
        <v>169</v>
      </c>
      <c r="CW3" t="s">
        <v>170</v>
      </c>
      <c r="CX3" t="s">
        <v>172</v>
      </c>
      <c r="CY3" t="s">
        <v>175</v>
      </c>
    </row>
    <row r="4" spans="1:103" ht="15" customHeight="1" x14ac:dyDescent="0.25">
      <c r="A4" t="s">
        <v>17</v>
      </c>
      <c r="B4" t="s">
        <v>14</v>
      </c>
      <c r="C4" t="s">
        <v>41</v>
      </c>
      <c r="D4" t="s">
        <v>5</v>
      </c>
      <c r="E4" t="s">
        <v>46</v>
      </c>
      <c r="F4" t="s">
        <v>21</v>
      </c>
      <c r="G4" t="s">
        <v>24</v>
      </c>
      <c r="H4" t="s">
        <v>49</v>
      </c>
      <c r="I4" t="s">
        <v>49</v>
      </c>
      <c r="J4" t="s">
        <v>56</v>
      </c>
      <c r="K4" t="s">
        <v>6</v>
      </c>
      <c r="L4" t="s">
        <v>5</v>
      </c>
      <c r="M4" t="s">
        <v>47</v>
      </c>
      <c r="N4" t="s">
        <v>56</v>
      </c>
      <c r="O4" t="s">
        <v>47</v>
      </c>
      <c r="P4" t="s">
        <v>49</v>
      </c>
      <c r="Q4" t="s">
        <v>5</v>
      </c>
      <c r="R4" t="s">
        <v>46</v>
      </c>
      <c r="S4" t="s">
        <v>17</v>
      </c>
      <c r="T4" t="s">
        <v>58</v>
      </c>
      <c r="U4" t="s">
        <v>21</v>
      </c>
      <c r="V4" t="s">
        <v>59</v>
      </c>
      <c r="W4" t="s">
        <v>47</v>
      </c>
      <c r="X4" t="s">
        <v>58</v>
      </c>
      <c r="Y4" t="s">
        <v>36</v>
      </c>
      <c r="Z4" t="s">
        <v>11</v>
      </c>
      <c r="AA4" t="s">
        <v>31</v>
      </c>
      <c r="AB4" t="s">
        <v>45</v>
      </c>
      <c r="AC4" t="s">
        <v>14</v>
      </c>
      <c r="AD4" t="s">
        <v>58</v>
      </c>
      <c r="AE4" t="s">
        <v>31</v>
      </c>
      <c r="AF4" t="s">
        <v>39</v>
      </c>
      <c r="AG4" t="s">
        <v>56</v>
      </c>
      <c r="AH4" t="s">
        <v>56</v>
      </c>
      <c r="AI4" t="s">
        <v>41</v>
      </c>
      <c r="AJ4" t="s">
        <v>17</v>
      </c>
      <c r="AK4" t="s">
        <v>59</v>
      </c>
      <c r="AL4" t="s">
        <v>17</v>
      </c>
      <c r="AM4" t="s">
        <v>58</v>
      </c>
      <c r="AN4" t="s">
        <v>59</v>
      </c>
      <c r="AO4" t="s">
        <v>24</v>
      </c>
      <c r="AP4" t="s">
        <v>14</v>
      </c>
      <c r="AQ4" t="s">
        <v>11</v>
      </c>
      <c r="AR4" t="s">
        <v>71</v>
      </c>
      <c r="AS4" t="s">
        <v>5</v>
      </c>
      <c r="AT4" t="s">
        <v>58</v>
      </c>
      <c r="AU4" t="s">
        <v>17</v>
      </c>
      <c r="AV4" t="s">
        <v>21</v>
      </c>
      <c r="AW4" t="s">
        <v>11</v>
      </c>
      <c r="AX4" t="s">
        <v>5</v>
      </c>
      <c r="AY4" t="s">
        <v>56</v>
      </c>
      <c r="AZ4" t="s">
        <v>59</v>
      </c>
      <c r="BA4" t="s">
        <v>56</v>
      </c>
      <c r="BB4" t="s">
        <v>17</v>
      </c>
      <c r="BC4" t="s">
        <v>11</v>
      </c>
      <c r="BD4" t="s">
        <v>47</v>
      </c>
      <c r="BE4" t="s">
        <v>31</v>
      </c>
      <c r="BF4" t="s">
        <v>46</v>
      </c>
      <c r="BG4" t="s">
        <v>6</v>
      </c>
      <c r="BH4" t="s">
        <v>71</v>
      </c>
      <c r="BI4" t="s">
        <v>56</v>
      </c>
      <c r="BJ4" t="s">
        <v>71</v>
      </c>
      <c r="BK4" t="s">
        <v>38</v>
      </c>
      <c r="BL4" t="s">
        <v>44</v>
      </c>
      <c r="BM4" t="s">
        <v>4</v>
      </c>
      <c r="BN4" t="s">
        <v>14</v>
      </c>
      <c r="BO4" t="s">
        <v>39</v>
      </c>
      <c r="BP4" t="s">
        <v>9</v>
      </c>
      <c r="BQ4" t="s">
        <v>71</v>
      </c>
      <c r="BR4" t="s">
        <v>18</v>
      </c>
      <c r="BS4" t="s">
        <v>58</v>
      </c>
      <c r="BT4" t="s">
        <v>39</v>
      </c>
      <c r="BU4" t="s">
        <v>59</v>
      </c>
      <c r="BV4" t="s">
        <v>5</v>
      </c>
      <c r="BW4" t="s">
        <v>44</v>
      </c>
      <c r="BX4" t="s">
        <v>5</v>
      </c>
      <c r="BY4" t="s">
        <v>58</v>
      </c>
      <c r="BZ4" t="s">
        <v>24</v>
      </c>
      <c r="CA4" t="s">
        <v>58</v>
      </c>
      <c r="CB4" t="s">
        <v>5</v>
      </c>
      <c r="CC4" t="s">
        <v>58</v>
      </c>
      <c r="CD4" t="s">
        <v>21</v>
      </c>
      <c r="CE4" t="s">
        <v>17</v>
      </c>
      <c r="CF4" t="s">
        <v>11</v>
      </c>
      <c r="CG4" t="s">
        <v>41</v>
      </c>
      <c r="CH4" t="s">
        <v>47</v>
      </c>
      <c r="CI4" t="s">
        <v>6</v>
      </c>
      <c r="CJ4" t="s">
        <v>58</v>
      </c>
      <c r="CK4" t="s">
        <v>21</v>
      </c>
      <c r="CL4" t="s">
        <v>56</v>
      </c>
      <c r="CM4" t="s">
        <v>41</v>
      </c>
      <c r="CN4" t="s">
        <v>31</v>
      </c>
      <c r="CO4" t="s">
        <v>6</v>
      </c>
      <c r="CP4" t="s">
        <v>56</v>
      </c>
      <c r="CQ4" t="s">
        <v>47</v>
      </c>
      <c r="CR4" t="s">
        <v>41</v>
      </c>
      <c r="CS4" t="s">
        <v>47</v>
      </c>
      <c r="CT4" t="s">
        <v>41</v>
      </c>
      <c r="CU4" t="s">
        <v>6</v>
      </c>
      <c r="CV4" t="s">
        <v>56</v>
      </c>
      <c r="CW4" t="s">
        <v>56</v>
      </c>
      <c r="CX4" t="s">
        <v>6</v>
      </c>
      <c r="CY4" t="s">
        <v>4</v>
      </c>
    </row>
    <row r="5" spans="1:103" ht="15" customHeight="1" x14ac:dyDescent="0.25">
      <c r="A5" t="s">
        <v>18</v>
      </c>
      <c r="B5" t="s">
        <v>29</v>
      </c>
      <c r="C5" t="s">
        <v>50</v>
      </c>
      <c r="D5" t="s">
        <v>6</v>
      </c>
      <c r="E5" t="s">
        <v>50</v>
      </c>
      <c r="F5" t="s">
        <v>24</v>
      </c>
      <c r="G5" t="s">
        <v>18</v>
      </c>
      <c r="H5" t="s">
        <v>45</v>
      </c>
      <c r="I5" t="s">
        <v>29</v>
      </c>
      <c r="J5" t="s">
        <v>45</v>
      </c>
      <c r="K5" t="s">
        <v>46</v>
      </c>
      <c r="L5" t="s">
        <v>64</v>
      </c>
      <c r="M5" t="s">
        <v>29</v>
      </c>
      <c r="N5" t="s">
        <v>41</v>
      </c>
      <c r="O5" t="s">
        <v>26</v>
      </c>
      <c r="P5" t="s">
        <v>54</v>
      </c>
      <c r="Q5" t="s">
        <v>17</v>
      </c>
      <c r="R5" t="s">
        <v>49</v>
      </c>
      <c r="S5" t="s">
        <v>64</v>
      </c>
      <c r="T5" t="s">
        <v>68</v>
      </c>
      <c r="U5" t="s">
        <v>9</v>
      </c>
      <c r="V5" t="s">
        <v>41</v>
      </c>
      <c r="W5" t="s">
        <v>54</v>
      </c>
      <c r="X5" t="s">
        <v>64</v>
      </c>
      <c r="Y5" t="s">
        <v>26</v>
      </c>
      <c r="Z5" t="s">
        <v>4</v>
      </c>
      <c r="AA5" t="s">
        <v>33</v>
      </c>
      <c r="AB5" t="s">
        <v>50</v>
      </c>
      <c r="AC5" t="s">
        <v>29</v>
      </c>
      <c r="AD5" t="s">
        <v>4</v>
      </c>
      <c r="AE5" t="s">
        <v>18</v>
      </c>
      <c r="AF5" t="s">
        <v>29</v>
      </c>
      <c r="AG5" t="s">
        <v>44</v>
      </c>
      <c r="AH5" t="s">
        <v>49</v>
      </c>
      <c r="AI5" t="s">
        <v>38</v>
      </c>
      <c r="AJ5" t="s">
        <v>21</v>
      </c>
      <c r="AK5" t="s">
        <v>64</v>
      </c>
      <c r="AL5" t="s">
        <v>21</v>
      </c>
      <c r="AM5" t="s">
        <v>46</v>
      </c>
      <c r="AN5" t="s">
        <v>46</v>
      </c>
      <c r="AO5" t="s">
        <v>18</v>
      </c>
      <c r="AP5" t="s">
        <v>29</v>
      </c>
      <c r="AQ5" t="s">
        <v>34</v>
      </c>
      <c r="AR5" t="s">
        <v>46</v>
      </c>
      <c r="AS5" t="s">
        <v>71</v>
      </c>
      <c r="AT5" t="s">
        <v>70</v>
      </c>
      <c r="AU5" t="s">
        <v>24</v>
      </c>
      <c r="AV5" t="s">
        <v>36</v>
      </c>
      <c r="AW5" t="s">
        <v>72</v>
      </c>
      <c r="AX5" t="s">
        <v>47</v>
      </c>
      <c r="AY5" t="s">
        <v>47</v>
      </c>
      <c r="AZ5" t="s">
        <v>50</v>
      </c>
      <c r="BA5" t="s">
        <v>50</v>
      </c>
      <c r="BB5" t="s">
        <v>4</v>
      </c>
      <c r="BC5" t="s">
        <v>47</v>
      </c>
      <c r="BD5" t="s">
        <v>50</v>
      </c>
      <c r="BE5" t="s">
        <v>44</v>
      </c>
      <c r="BF5" t="s">
        <v>4</v>
      </c>
      <c r="BG5" t="s">
        <v>31</v>
      </c>
      <c r="BH5" t="s">
        <v>54</v>
      </c>
      <c r="BI5" t="s">
        <v>44</v>
      </c>
      <c r="BJ5" t="s">
        <v>70</v>
      </c>
      <c r="BK5" t="s">
        <v>24</v>
      </c>
      <c r="BL5" t="s">
        <v>49</v>
      </c>
      <c r="BM5" t="s">
        <v>54</v>
      </c>
      <c r="BN5" t="s">
        <v>4</v>
      </c>
      <c r="BO5" t="s">
        <v>4</v>
      </c>
      <c r="BP5" t="s">
        <v>54</v>
      </c>
      <c r="BQ5" t="s">
        <v>46</v>
      </c>
      <c r="BR5" t="s">
        <v>29</v>
      </c>
      <c r="BS5" t="s">
        <v>4</v>
      </c>
      <c r="BT5" t="s">
        <v>21</v>
      </c>
      <c r="BU5" t="s">
        <v>50</v>
      </c>
      <c r="BV5" t="s">
        <v>38</v>
      </c>
      <c r="BW5" t="s">
        <v>49</v>
      </c>
      <c r="BX5" t="s">
        <v>14</v>
      </c>
      <c r="BY5" t="s">
        <v>41</v>
      </c>
      <c r="BZ5" t="s">
        <v>36</v>
      </c>
      <c r="CA5" t="s">
        <v>46</v>
      </c>
      <c r="CB5" t="s">
        <v>6</v>
      </c>
      <c r="CC5" t="s">
        <v>49</v>
      </c>
      <c r="CD5" t="s">
        <v>38</v>
      </c>
      <c r="CE5" t="s">
        <v>59</v>
      </c>
      <c r="CF5" t="s">
        <v>18</v>
      </c>
      <c r="CG5" t="s">
        <v>50</v>
      </c>
      <c r="CH5" t="s">
        <v>4</v>
      </c>
      <c r="CI5" t="s">
        <v>41</v>
      </c>
      <c r="CJ5" t="s">
        <v>44</v>
      </c>
      <c r="CK5" t="s">
        <v>50</v>
      </c>
      <c r="CL5" t="s">
        <v>26</v>
      </c>
      <c r="CM5" t="s">
        <v>47</v>
      </c>
      <c r="CN5" t="s">
        <v>44</v>
      </c>
      <c r="CO5" t="s">
        <v>4</v>
      </c>
      <c r="CP5" t="s">
        <v>41</v>
      </c>
      <c r="CQ5" t="s">
        <v>50</v>
      </c>
      <c r="CR5" t="s">
        <v>4</v>
      </c>
      <c r="CS5" t="s">
        <v>4</v>
      </c>
      <c r="CT5" t="s">
        <v>50</v>
      </c>
      <c r="CU5" t="s">
        <v>50</v>
      </c>
      <c r="CV5" t="s">
        <v>21</v>
      </c>
      <c r="CW5" t="s">
        <v>21</v>
      </c>
      <c r="CX5" t="s">
        <v>4</v>
      </c>
      <c r="CY5" t="s">
        <v>50</v>
      </c>
    </row>
    <row r="6" spans="1:103" ht="15" customHeight="1" x14ac:dyDescent="0.25">
      <c r="A6" t="s">
        <v>19</v>
      </c>
      <c r="B6" t="s">
        <v>32</v>
      </c>
      <c r="C6" t="s">
        <v>51</v>
      </c>
      <c r="D6" t="s">
        <v>7</v>
      </c>
      <c r="E6" t="s">
        <v>51</v>
      </c>
      <c r="F6" t="s">
        <v>20</v>
      </c>
      <c r="G6" t="s">
        <v>28</v>
      </c>
      <c r="H6" t="s">
        <v>60</v>
      </c>
      <c r="I6" t="s">
        <v>32</v>
      </c>
      <c r="J6" t="s">
        <v>67</v>
      </c>
      <c r="K6" t="s">
        <v>10</v>
      </c>
      <c r="L6" t="s">
        <v>52</v>
      </c>
      <c r="M6" t="s">
        <v>30</v>
      </c>
      <c r="N6" t="s">
        <v>57</v>
      </c>
      <c r="O6" t="s">
        <v>55</v>
      </c>
      <c r="P6" t="s">
        <v>53</v>
      </c>
      <c r="Q6" t="s">
        <v>40</v>
      </c>
      <c r="R6" t="s">
        <v>66</v>
      </c>
      <c r="S6" t="s">
        <v>22</v>
      </c>
      <c r="T6" t="s">
        <v>25</v>
      </c>
      <c r="U6" t="s">
        <v>23</v>
      </c>
      <c r="V6" t="s">
        <v>69</v>
      </c>
      <c r="W6" t="s">
        <v>42</v>
      </c>
      <c r="X6" t="s">
        <v>51</v>
      </c>
      <c r="Y6" t="s">
        <v>57</v>
      </c>
      <c r="Z6" t="s">
        <v>13</v>
      </c>
      <c r="AA6" t="s">
        <v>37</v>
      </c>
      <c r="AB6" t="s">
        <v>52</v>
      </c>
      <c r="AC6" t="s">
        <v>40</v>
      </c>
      <c r="AD6" t="s">
        <v>7</v>
      </c>
      <c r="AE6" t="s">
        <v>32</v>
      </c>
      <c r="AF6" t="s">
        <v>22</v>
      </c>
      <c r="AG6" t="s">
        <v>57</v>
      </c>
      <c r="AH6" t="s">
        <v>67</v>
      </c>
      <c r="AI6" t="s">
        <v>40</v>
      </c>
      <c r="AJ6" t="s">
        <v>57</v>
      </c>
      <c r="AK6" t="s">
        <v>69</v>
      </c>
      <c r="AL6" t="s">
        <v>53</v>
      </c>
      <c r="AM6" t="s">
        <v>52</v>
      </c>
      <c r="AN6" t="s">
        <v>69</v>
      </c>
      <c r="AO6" t="s">
        <v>35</v>
      </c>
      <c r="AP6" t="s">
        <v>40</v>
      </c>
      <c r="AQ6" t="s">
        <v>7</v>
      </c>
      <c r="AR6" t="s">
        <v>66</v>
      </c>
      <c r="AS6" t="s">
        <v>8</v>
      </c>
      <c r="AT6" t="s">
        <v>19</v>
      </c>
      <c r="AU6" t="s">
        <v>22</v>
      </c>
      <c r="AV6" t="s">
        <v>32</v>
      </c>
      <c r="AW6" t="s">
        <v>7</v>
      </c>
      <c r="AX6" t="s">
        <v>69</v>
      </c>
      <c r="AY6" t="s">
        <v>55</v>
      </c>
      <c r="AZ6" t="s">
        <v>69</v>
      </c>
      <c r="BA6" t="s">
        <v>42</v>
      </c>
      <c r="BB6" t="s">
        <v>7</v>
      </c>
      <c r="BC6" t="s">
        <v>7</v>
      </c>
      <c r="BD6" t="s">
        <v>52</v>
      </c>
      <c r="BE6" t="s">
        <v>22</v>
      </c>
      <c r="BF6" t="s">
        <v>12</v>
      </c>
      <c r="BG6" t="s">
        <v>7</v>
      </c>
      <c r="BH6" t="s">
        <v>60</v>
      </c>
      <c r="BI6" t="s">
        <v>67</v>
      </c>
      <c r="BJ6" t="s">
        <v>66</v>
      </c>
      <c r="BK6" t="s">
        <v>35</v>
      </c>
      <c r="BL6" t="s">
        <v>53</v>
      </c>
      <c r="BM6" t="s">
        <v>13</v>
      </c>
      <c r="BN6" t="s">
        <v>15</v>
      </c>
      <c r="BO6" t="s">
        <v>7</v>
      </c>
      <c r="BP6" t="s">
        <v>19</v>
      </c>
      <c r="BQ6" t="s">
        <v>66</v>
      </c>
      <c r="BR6" t="s">
        <v>19</v>
      </c>
      <c r="BS6" t="s">
        <v>8</v>
      </c>
      <c r="BT6" t="s">
        <v>20</v>
      </c>
      <c r="BU6" t="s">
        <v>52</v>
      </c>
      <c r="BV6" t="s">
        <v>35</v>
      </c>
      <c r="BW6" t="s">
        <v>57</v>
      </c>
      <c r="BX6" t="s">
        <v>15</v>
      </c>
      <c r="BY6" t="s">
        <v>69</v>
      </c>
      <c r="BZ6" t="s">
        <v>32</v>
      </c>
      <c r="CA6" t="s">
        <v>15</v>
      </c>
      <c r="CB6" t="s">
        <v>7</v>
      </c>
      <c r="CC6" t="s">
        <v>53</v>
      </c>
      <c r="CD6" t="s">
        <v>35</v>
      </c>
      <c r="CE6" t="s">
        <v>32</v>
      </c>
      <c r="CF6" t="s">
        <v>7</v>
      </c>
      <c r="CG6" t="s">
        <v>62</v>
      </c>
      <c r="CH6" t="s">
        <v>8</v>
      </c>
      <c r="CI6" t="s">
        <v>12</v>
      </c>
      <c r="CJ6" t="s">
        <v>53</v>
      </c>
      <c r="CK6" t="s">
        <v>27</v>
      </c>
      <c r="CL6" t="s">
        <v>22</v>
      </c>
      <c r="CM6" t="s">
        <v>43</v>
      </c>
      <c r="CN6" t="s">
        <v>27</v>
      </c>
      <c r="CO6" t="s">
        <v>22</v>
      </c>
      <c r="CP6" t="s">
        <v>27</v>
      </c>
      <c r="CQ6" t="s">
        <v>63</v>
      </c>
      <c r="CR6" t="s">
        <v>12</v>
      </c>
      <c r="CS6" t="s">
        <v>27</v>
      </c>
      <c r="CT6" t="s">
        <v>53</v>
      </c>
      <c r="CU6" t="s">
        <v>12</v>
      </c>
      <c r="CV6" t="s">
        <v>27</v>
      </c>
      <c r="CW6" t="s">
        <v>27</v>
      </c>
      <c r="CX6" t="s">
        <v>63</v>
      </c>
      <c r="CY6" t="s">
        <v>12</v>
      </c>
    </row>
    <row r="7" spans="1:103" ht="15" customHeight="1" x14ac:dyDescent="0.25">
      <c r="A7" t="s">
        <v>20</v>
      </c>
      <c r="B7" t="s">
        <v>30</v>
      </c>
      <c r="C7" t="s">
        <v>52</v>
      </c>
      <c r="D7" t="s">
        <v>8</v>
      </c>
      <c r="E7" t="s">
        <v>52</v>
      </c>
      <c r="F7" t="s">
        <v>25</v>
      </c>
      <c r="G7" t="s">
        <v>25</v>
      </c>
      <c r="H7" t="s">
        <v>61</v>
      </c>
      <c r="I7" t="s">
        <v>53</v>
      </c>
      <c r="J7" t="s">
        <v>60</v>
      </c>
      <c r="K7" t="s">
        <v>42</v>
      </c>
      <c r="L7" t="s">
        <v>53</v>
      </c>
      <c r="M7" t="s">
        <v>43</v>
      </c>
      <c r="N7" t="s">
        <v>19</v>
      </c>
      <c r="O7" t="s">
        <v>43</v>
      </c>
      <c r="P7" t="s">
        <v>42</v>
      </c>
      <c r="Q7" t="s">
        <v>8</v>
      </c>
      <c r="R7" t="s">
        <v>55</v>
      </c>
      <c r="S7" t="s">
        <v>51</v>
      </c>
      <c r="T7" t="s">
        <v>48</v>
      </c>
      <c r="U7" t="s">
        <v>12</v>
      </c>
      <c r="V7" t="s">
        <v>52</v>
      </c>
      <c r="W7" t="s">
        <v>43</v>
      </c>
      <c r="X7" t="s">
        <v>52</v>
      </c>
      <c r="Y7" t="s">
        <v>67</v>
      </c>
      <c r="Z7" t="s">
        <v>10</v>
      </c>
      <c r="AA7" t="s">
        <v>30</v>
      </c>
      <c r="AB7" t="s">
        <v>63</v>
      </c>
      <c r="AC7" t="s">
        <v>15</v>
      </c>
      <c r="AD7" t="s">
        <v>42</v>
      </c>
      <c r="AE7" t="s">
        <v>35</v>
      </c>
      <c r="AF7" t="s">
        <v>20</v>
      </c>
      <c r="AG7" t="s">
        <v>53</v>
      </c>
      <c r="AH7" t="s">
        <v>60</v>
      </c>
      <c r="AI7" t="s">
        <v>61</v>
      </c>
      <c r="AJ7" t="s">
        <v>67</v>
      </c>
      <c r="AK7" t="s">
        <v>43</v>
      </c>
      <c r="AL7" t="s">
        <v>60</v>
      </c>
      <c r="AM7" t="s">
        <v>61</v>
      </c>
      <c r="AN7" t="s">
        <v>63</v>
      </c>
      <c r="AO7" t="s">
        <v>23</v>
      </c>
      <c r="AP7" t="s">
        <v>15</v>
      </c>
      <c r="AQ7" t="s">
        <v>25</v>
      </c>
      <c r="AR7" t="s">
        <v>48</v>
      </c>
      <c r="AS7" t="s">
        <v>66</v>
      </c>
      <c r="AT7" t="s">
        <v>66</v>
      </c>
      <c r="AU7" t="s">
        <v>63</v>
      </c>
      <c r="AV7" t="s">
        <v>22</v>
      </c>
      <c r="AW7" t="s">
        <v>13</v>
      </c>
      <c r="AX7" t="s">
        <v>55</v>
      </c>
      <c r="AY7" t="s">
        <v>43</v>
      </c>
      <c r="AZ7" t="s">
        <v>53</v>
      </c>
      <c r="BA7" t="s">
        <v>48</v>
      </c>
      <c r="BB7" t="s">
        <v>25</v>
      </c>
      <c r="BC7" t="s">
        <v>15</v>
      </c>
      <c r="BD7" t="s">
        <v>43</v>
      </c>
      <c r="BE7" t="s">
        <v>57</v>
      </c>
      <c r="BF7" t="s">
        <v>48</v>
      </c>
      <c r="BG7" t="s">
        <v>40</v>
      </c>
      <c r="BH7" t="s">
        <v>61</v>
      </c>
      <c r="BI7" t="s">
        <v>55</v>
      </c>
      <c r="BJ7" t="s">
        <v>62</v>
      </c>
      <c r="BK7" t="s">
        <v>55</v>
      </c>
      <c r="BL7" t="s">
        <v>61</v>
      </c>
      <c r="BM7" t="s">
        <v>43</v>
      </c>
      <c r="BN7" t="s">
        <v>8</v>
      </c>
      <c r="BO7" t="s">
        <v>22</v>
      </c>
      <c r="BP7" t="s">
        <v>42</v>
      </c>
      <c r="BQ7" t="s">
        <v>43</v>
      </c>
      <c r="BR7" t="s">
        <v>67</v>
      </c>
      <c r="BS7" t="s">
        <v>48</v>
      </c>
      <c r="BT7" t="s">
        <v>28</v>
      </c>
      <c r="BU7" t="s">
        <v>63</v>
      </c>
      <c r="BV7" t="s">
        <v>37</v>
      </c>
      <c r="BW7" t="s">
        <v>67</v>
      </c>
      <c r="BX7" t="s">
        <v>8</v>
      </c>
      <c r="BY7" t="s">
        <v>48</v>
      </c>
      <c r="BZ7" t="s">
        <v>19</v>
      </c>
      <c r="CA7" t="s">
        <v>48</v>
      </c>
      <c r="CB7" t="s">
        <v>12</v>
      </c>
      <c r="CC7" t="s">
        <v>48</v>
      </c>
      <c r="CD7" t="s">
        <v>20</v>
      </c>
      <c r="CE7" t="s">
        <v>51</v>
      </c>
      <c r="CF7" t="s">
        <v>22</v>
      </c>
      <c r="CG7" t="s">
        <v>63</v>
      </c>
      <c r="CH7" t="s">
        <v>43</v>
      </c>
      <c r="CI7" t="s">
        <v>42</v>
      </c>
      <c r="CJ7" t="s">
        <v>55</v>
      </c>
      <c r="CK7" t="s">
        <v>63</v>
      </c>
      <c r="CL7" t="s">
        <v>27</v>
      </c>
      <c r="CM7" t="s">
        <v>61</v>
      </c>
      <c r="CN7" t="s">
        <v>55</v>
      </c>
      <c r="CO7" t="s">
        <v>12</v>
      </c>
      <c r="CP7" t="s">
        <v>53</v>
      </c>
      <c r="CQ7" t="s">
        <v>43</v>
      </c>
      <c r="CR7" t="s">
        <v>43</v>
      </c>
      <c r="CS7" t="s">
        <v>43</v>
      </c>
      <c r="CT7" t="s">
        <v>63</v>
      </c>
      <c r="CU7" t="s">
        <v>63</v>
      </c>
      <c r="CV7" t="s">
        <v>53</v>
      </c>
      <c r="CW7" t="s">
        <v>53</v>
      </c>
      <c r="CX7" t="s">
        <v>43</v>
      </c>
      <c r="CY7" t="s">
        <v>43</v>
      </c>
    </row>
    <row r="8" spans="1:103" ht="15" customHeight="1" x14ac:dyDescent="0.25">
      <c r="A8" t="s">
        <v>21</v>
      </c>
      <c r="D8" t="s">
        <v>176</v>
      </c>
      <c r="F8" t="s">
        <v>9</v>
      </c>
      <c r="G8" t="s">
        <v>11</v>
      </c>
      <c r="H8" t="s">
        <v>56</v>
      </c>
      <c r="K8" t="s">
        <v>41</v>
      </c>
      <c r="L8" t="s">
        <v>14</v>
      </c>
      <c r="N8" t="s">
        <v>58</v>
      </c>
      <c r="P8" t="s">
        <v>16</v>
      </c>
      <c r="R8" t="s">
        <v>176</v>
      </c>
      <c r="T8" t="s">
        <v>4</v>
      </c>
      <c r="U8" t="s">
        <v>39</v>
      </c>
      <c r="V8" t="s">
        <v>44</v>
      </c>
      <c r="W8" t="s">
        <v>29</v>
      </c>
      <c r="Y8" t="s">
        <v>46</v>
      </c>
      <c r="Z8" t="s">
        <v>18</v>
      </c>
      <c r="AB8" t="s">
        <v>58</v>
      </c>
      <c r="AD8" t="s">
        <v>39</v>
      </c>
      <c r="AE8" t="s">
        <v>24</v>
      </c>
      <c r="AF8" t="s">
        <v>49</v>
      </c>
      <c r="AI8" t="s">
        <v>46</v>
      </c>
      <c r="AK8" t="s">
        <v>31</v>
      </c>
      <c r="AL8" t="s">
        <v>5</v>
      </c>
      <c r="AM8" t="s">
        <v>9</v>
      </c>
      <c r="AN8" t="s">
        <v>17</v>
      </c>
      <c r="AO8" t="s">
        <v>47</v>
      </c>
      <c r="AR8" t="s">
        <v>6</v>
      </c>
      <c r="AS8" t="s">
        <v>11</v>
      </c>
      <c r="AT8" t="s">
        <v>21</v>
      </c>
      <c r="AU8" t="s">
        <v>6</v>
      </c>
      <c r="AV8" t="s">
        <v>56</v>
      </c>
      <c r="AW8" t="s">
        <v>39</v>
      </c>
      <c r="AX8" t="s">
        <v>24</v>
      </c>
      <c r="AZ8" t="s">
        <v>71</v>
      </c>
      <c r="BA8" t="s">
        <v>17</v>
      </c>
      <c r="BB8" t="s">
        <v>5</v>
      </c>
      <c r="BC8" t="s">
        <v>44</v>
      </c>
      <c r="BG8" t="s">
        <v>56</v>
      </c>
      <c r="BH8" t="s">
        <v>46</v>
      </c>
      <c r="BJ8" t="s">
        <v>58</v>
      </c>
      <c r="BK8" t="s">
        <v>56</v>
      </c>
      <c r="BM8" t="s">
        <v>36</v>
      </c>
      <c r="BN8" t="s">
        <v>41</v>
      </c>
      <c r="BO8" t="s">
        <v>41</v>
      </c>
      <c r="BP8" t="s">
        <v>6</v>
      </c>
      <c r="BQ8" t="s">
        <v>17</v>
      </c>
      <c r="BS8" t="s">
        <v>56</v>
      </c>
      <c r="BT8" t="s">
        <v>58</v>
      </c>
      <c r="BU8" t="s">
        <v>31</v>
      </c>
      <c r="BV8" t="s">
        <v>44</v>
      </c>
      <c r="BX8" t="s">
        <v>46</v>
      </c>
      <c r="BY8" t="s">
        <v>39</v>
      </c>
      <c r="BZ8" t="s">
        <v>59</v>
      </c>
      <c r="CA8" t="s">
        <v>56</v>
      </c>
      <c r="CB8" t="s">
        <v>59</v>
      </c>
      <c r="CC8" t="s">
        <v>9</v>
      </c>
      <c r="CE8" t="s">
        <v>31</v>
      </c>
      <c r="CF8" t="s">
        <v>24</v>
      </c>
      <c r="CG8" t="s">
        <v>6</v>
      </c>
      <c r="CH8" t="s">
        <v>34</v>
      </c>
      <c r="CI8" t="s">
        <v>31</v>
      </c>
      <c r="CJ8" t="s">
        <v>41</v>
      </c>
      <c r="CK8" t="s">
        <v>6</v>
      </c>
      <c r="CL8" t="s">
        <v>36</v>
      </c>
      <c r="CN8" t="s">
        <v>59</v>
      </c>
      <c r="CQ8" t="s">
        <v>6</v>
      </c>
      <c r="CR8" t="s">
        <v>56</v>
      </c>
      <c r="CS8" t="s">
        <v>6</v>
      </c>
      <c r="CT8" t="s">
        <v>56</v>
      </c>
    </row>
    <row r="9" spans="1:103" ht="15" customHeight="1" x14ac:dyDescent="0.25">
      <c r="A9" t="s">
        <v>45</v>
      </c>
      <c r="D9" t="s">
        <v>46</v>
      </c>
      <c r="F9" t="s">
        <v>54</v>
      </c>
      <c r="G9" t="s">
        <v>4</v>
      </c>
      <c r="H9" t="s">
        <v>176</v>
      </c>
      <c r="K9" t="s">
        <v>50</v>
      </c>
      <c r="L9" t="s">
        <v>50</v>
      </c>
      <c r="N9" t="s">
        <v>46</v>
      </c>
      <c r="P9" t="s">
        <v>33</v>
      </c>
      <c r="R9" t="s">
        <v>21</v>
      </c>
      <c r="T9" t="s">
        <v>54</v>
      </c>
      <c r="U9" t="s">
        <v>56</v>
      </c>
      <c r="V9" t="s">
        <v>24</v>
      </c>
      <c r="W9" t="s">
        <v>26</v>
      </c>
      <c r="Y9" t="s">
        <v>47</v>
      </c>
      <c r="Z9" t="s">
        <v>26</v>
      </c>
      <c r="AB9" t="s">
        <v>47</v>
      </c>
      <c r="AD9" t="s">
        <v>36</v>
      </c>
      <c r="AE9" t="s">
        <v>36</v>
      </c>
      <c r="AF9" t="s">
        <v>45</v>
      </c>
      <c r="AI9" t="s">
        <v>24</v>
      </c>
      <c r="AK9" t="s">
        <v>49</v>
      </c>
      <c r="AL9" t="s">
        <v>31</v>
      </c>
      <c r="AM9" t="s">
        <v>47</v>
      </c>
      <c r="AN9" t="s">
        <v>26</v>
      </c>
      <c r="AO9" t="s">
        <v>50</v>
      </c>
      <c r="AR9" t="s">
        <v>36</v>
      </c>
      <c r="AS9" t="s">
        <v>72</v>
      </c>
      <c r="AT9" t="s">
        <v>47</v>
      </c>
      <c r="AU9" t="s">
        <v>59</v>
      </c>
      <c r="AV9" t="s">
        <v>44</v>
      </c>
      <c r="AW9" t="s">
        <v>29</v>
      </c>
      <c r="AX9" t="s">
        <v>4</v>
      </c>
      <c r="AZ9" t="s">
        <v>70</v>
      </c>
      <c r="BA9" t="s">
        <v>21</v>
      </c>
      <c r="BB9" t="s">
        <v>6</v>
      </c>
      <c r="BC9" t="s">
        <v>38</v>
      </c>
      <c r="BG9" t="s">
        <v>44</v>
      </c>
      <c r="BH9" t="s">
        <v>50</v>
      </c>
      <c r="BJ9" t="s">
        <v>6</v>
      </c>
      <c r="BK9" t="s">
        <v>45</v>
      </c>
      <c r="BM9" t="s">
        <v>29</v>
      </c>
      <c r="BN9" t="s">
        <v>49</v>
      </c>
      <c r="BO9" t="s">
        <v>47</v>
      </c>
      <c r="BP9" t="s">
        <v>26</v>
      </c>
      <c r="BQ9" t="s">
        <v>31</v>
      </c>
      <c r="BS9" t="s">
        <v>45</v>
      </c>
      <c r="BT9" t="s">
        <v>64</v>
      </c>
      <c r="BU9" t="s">
        <v>36</v>
      </c>
      <c r="BV9" t="s">
        <v>11</v>
      </c>
      <c r="BX9" t="s">
        <v>54</v>
      </c>
      <c r="BY9" t="s">
        <v>21</v>
      </c>
      <c r="BZ9" t="s">
        <v>9</v>
      </c>
      <c r="CA9" t="s">
        <v>41</v>
      </c>
      <c r="CB9" t="s">
        <v>64</v>
      </c>
      <c r="CC9" t="s">
        <v>11</v>
      </c>
      <c r="CE9" t="s">
        <v>49</v>
      </c>
      <c r="CF9" t="s">
        <v>54</v>
      </c>
      <c r="CG9" t="s">
        <v>21</v>
      </c>
      <c r="CH9" t="s">
        <v>29</v>
      </c>
      <c r="CI9" t="s">
        <v>26</v>
      </c>
      <c r="CJ9" t="s">
        <v>36</v>
      </c>
      <c r="CK9" t="s">
        <v>31</v>
      </c>
      <c r="CL9" t="s">
        <v>4</v>
      </c>
      <c r="CN9" t="s">
        <v>50</v>
      </c>
      <c r="CQ9" t="s">
        <v>21</v>
      </c>
      <c r="CR9" t="s">
        <v>21</v>
      </c>
      <c r="CS9" t="s">
        <v>59</v>
      </c>
      <c r="CT9" t="s">
        <v>4</v>
      </c>
    </row>
    <row r="10" spans="1:103" ht="15" customHeight="1" x14ac:dyDescent="0.25">
      <c r="A10" t="s">
        <v>22</v>
      </c>
      <c r="D10" t="s">
        <v>55</v>
      </c>
      <c r="F10" t="s">
        <v>51</v>
      </c>
      <c r="G10" t="s">
        <v>12</v>
      </c>
      <c r="H10" t="s">
        <v>57</v>
      </c>
      <c r="K10" t="s">
        <v>51</v>
      </c>
      <c r="L10" t="s">
        <v>15</v>
      </c>
      <c r="N10" t="s">
        <v>53</v>
      </c>
      <c r="P10" t="s">
        <v>40</v>
      </c>
      <c r="R10" t="s">
        <v>57</v>
      </c>
      <c r="T10" t="s">
        <v>7</v>
      </c>
      <c r="U10" t="s">
        <v>35</v>
      </c>
      <c r="V10" t="s">
        <v>28</v>
      </c>
      <c r="W10" t="s">
        <v>22</v>
      </c>
      <c r="Y10" t="s">
        <v>12</v>
      </c>
      <c r="Z10" t="s">
        <v>35</v>
      </c>
      <c r="AB10" t="s">
        <v>48</v>
      </c>
      <c r="AD10" t="s">
        <v>37</v>
      </c>
      <c r="AE10" t="s">
        <v>52</v>
      </c>
      <c r="AF10" t="s">
        <v>69</v>
      </c>
      <c r="AI10" t="s">
        <v>28</v>
      </c>
      <c r="AK10" t="s">
        <v>22</v>
      </c>
      <c r="AL10" t="s">
        <v>13</v>
      </c>
      <c r="AM10" t="s">
        <v>8</v>
      </c>
      <c r="AN10" t="s">
        <v>19</v>
      </c>
      <c r="AO10" t="s">
        <v>51</v>
      </c>
      <c r="AR10" t="s">
        <v>32</v>
      </c>
      <c r="AS10" t="s">
        <v>12</v>
      </c>
      <c r="AT10" t="s">
        <v>69</v>
      </c>
      <c r="AU10" t="s">
        <v>51</v>
      </c>
      <c r="AV10" t="s">
        <v>57</v>
      </c>
      <c r="AW10" t="s">
        <v>19</v>
      </c>
      <c r="AX10" t="s">
        <v>22</v>
      </c>
      <c r="AZ10" t="s">
        <v>60</v>
      </c>
      <c r="BA10" t="s">
        <v>23</v>
      </c>
      <c r="BB10" t="s">
        <v>13</v>
      </c>
      <c r="BC10" t="s">
        <v>35</v>
      </c>
      <c r="BG10" t="s">
        <v>69</v>
      </c>
      <c r="BH10" t="s">
        <v>12</v>
      </c>
      <c r="BJ10" t="s">
        <v>69</v>
      </c>
      <c r="BK10" t="s">
        <v>67</v>
      </c>
      <c r="BM10" t="s">
        <v>22</v>
      </c>
      <c r="BN10" t="s">
        <v>32</v>
      </c>
      <c r="BO10" t="s">
        <v>57</v>
      </c>
      <c r="BP10" t="s">
        <v>12</v>
      </c>
      <c r="BQ10" t="s">
        <v>32</v>
      </c>
      <c r="BS10" t="s">
        <v>53</v>
      </c>
      <c r="BT10" t="s">
        <v>51</v>
      </c>
      <c r="BU10" t="s">
        <v>20</v>
      </c>
      <c r="BV10" t="s">
        <v>7</v>
      </c>
      <c r="BX10" t="s">
        <v>42</v>
      </c>
      <c r="BY10" t="s">
        <v>40</v>
      </c>
      <c r="BZ10" t="s">
        <v>52</v>
      </c>
      <c r="CA10" t="s">
        <v>57</v>
      </c>
      <c r="CB10" t="s">
        <v>52</v>
      </c>
      <c r="CC10" t="s">
        <v>13</v>
      </c>
      <c r="CE10" t="s">
        <v>40</v>
      </c>
      <c r="CF10" t="s">
        <v>19</v>
      </c>
      <c r="CG10" t="s">
        <v>12</v>
      </c>
      <c r="CH10" t="s">
        <v>23</v>
      </c>
      <c r="CI10" t="s">
        <v>22</v>
      </c>
      <c r="CJ10" t="s">
        <v>22</v>
      </c>
      <c r="CK10" t="s">
        <v>40</v>
      </c>
      <c r="CL10" t="s">
        <v>40</v>
      </c>
      <c r="CN10" t="s">
        <v>8</v>
      </c>
      <c r="CQ10" t="s">
        <v>22</v>
      </c>
      <c r="CR10" t="s">
        <v>22</v>
      </c>
      <c r="CS10" t="s">
        <v>8</v>
      </c>
      <c r="CT10" t="s">
        <v>27</v>
      </c>
    </row>
    <row r="11" spans="1:103" ht="15" customHeight="1" x14ac:dyDescent="0.25">
      <c r="A11" t="s">
        <v>23</v>
      </c>
      <c r="D11" t="s">
        <v>42</v>
      </c>
      <c r="F11" t="s">
        <v>10</v>
      </c>
      <c r="G11" t="s">
        <v>53</v>
      </c>
      <c r="H11" t="s">
        <v>55</v>
      </c>
      <c r="K11" t="s">
        <v>62</v>
      </c>
      <c r="L11" t="s">
        <v>48</v>
      </c>
      <c r="N11" t="s">
        <v>60</v>
      </c>
      <c r="P11" t="s">
        <v>19</v>
      </c>
      <c r="R11" t="s">
        <v>28</v>
      </c>
      <c r="T11" t="s">
        <v>42</v>
      </c>
      <c r="U11" t="s">
        <v>67</v>
      </c>
      <c r="V11" t="s">
        <v>55</v>
      </c>
      <c r="W11" t="s">
        <v>37</v>
      </c>
      <c r="Y11" t="s">
        <v>48</v>
      </c>
      <c r="Z11" t="s">
        <v>37</v>
      </c>
      <c r="AB11" t="s">
        <v>43</v>
      </c>
      <c r="AD11" t="s">
        <v>30</v>
      </c>
      <c r="AE11" t="s">
        <v>48</v>
      </c>
      <c r="AF11" t="s">
        <v>67</v>
      </c>
      <c r="AI11" t="s">
        <v>62</v>
      </c>
      <c r="AK11" t="s">
        <v>55</v>
      </c>
      <c r="AL11" t="s">
        <v>37</v>
      </c>
      <c r="AM11" t="s">
        <v>42</v>
      </c>
      <c r="AN11" t="s">
        <v>37</v>
      </c>
      <c r="AO11" t="s">
        <v>52</v>
      </c>
      <c r="AR11" t="s">
        <v>7</v>
      </c>
      <c r="AS11" t="s">
        <v>42</v>
      </c>
      <c r="AT11" t="s">
        <v>43</v>
      </c>
      <c r="AU11" t="s">
        <v>42</v>
      </c>
      <c r="AV11" t="s">
        <v>67</v>
      </c>
      <c r="AW11" t="s">
        <v>37</v>
      </c>
      <c r="AX11" t="s">
        <v>12</v>
      </c>
      <c r="AZ11" t="s">
        <v>61</v>
      </c>
      <c r="BA11" t="s">
        <v>25</v>
      </c>
      <c r="BB11" t="s">
        <v>8</v>
      </c>
      <c r="BC11" t="s">
        <v>53</v>
      </c>
      <c r="BG11" t="s">
        <v>55</v>
      </c>
      <c r="BH11" t="s">
        <v>51</v>
      </c>
      <c r="BJ11" t="s">
        <v>43</v>
      </c>
      <c r="BK11" t="s">
        <v>25</v>
      </c>
      <c r="BM11" t="s">
        <v>20</v>
      </c>
      <c r="BN11" t="s">
        <v>53</v>
      </c>
      <c r="BO11" t="s">
        <v>43</v>
      </c>
      <c r="BP11" t="s">
        <v>37</v>
      </c>
      <c r="BQ11" t="s">
        <v>37</v>
      </c>
      <c r="BS11" t="s">
        <v>60</v>
      </c>
      <c r="BT11" t="s">
        <v>48</v>
      </c>
      <c r="BU11" t="s">
        <v>30</v>
      </c>
      <c r="BV11" t="s">
        <v>55</v>
      </c>
      <c r="BX11" t="s">
        <v>48</v>
      </c>
      <c r="BY11" t="s">
        <v>20</v>
      </c>
      <c r="BZ11" t="s">
        <v>63</v>
      </c>
      <c r="CA11" t="s">
        <v>53</v>
      </c>
      <c r="CB11" t="s">
        <v>63</v>
      </c>
      <c r="CC11" t="s">
        <v>15</v>
      </c>
      <c r="CE11" t="s">
        <v>55</v>
      </c>
      <c r="CF11" t="s">
        <v>42</v>
      </c>
      <c r="CG11" t="s">
        <v>8</v>
      </c>
      <c r="CH11" t="s">
        <v>37</v>
      </c>
      <c r="CI11" t="s">
        <v>55</v>
      </c>
      <c r="CJ11" t="s">
        <v>61</v>
      </c>
      <c r="CK11" t="s">
        <v>12</v>
      </c>
      <c r="CL11" t="s">
        <v>8</v>
      </c>
      <c r="CN11" t="s">
        <v>63</v>
      </c>
      <c r="CQ11" t="s">
        <v>8</v>
      </c>
      <c r="CR11" t="s">
        <v>55</v>
      </c>
      <c r="CS11" t="s">
        <v>53</v>
      </c>
      <c r="CT11" t="s">
        <v>12</v>
      </c>
    </row>
    <row r="12" spans="1:103" ht="15" customHeight="1" x14ac:dyDescent="0.25">
      <c r="A12" t="s">
        <v>47</v>
      </c>
      <c r="D12" t="s">
        <v>33</v>
      </c>
      <c r="F12" t="s">
        <v>5</v>
      </c>
      <c r="G12" t="s">
        <v>14</v>
      </c>
      <c r="H12" t="s">
        <v>36</v>
      </c>
      <c r="K12" t="s">
        <v>33</v>
      </c>
      <c r="L12" t="s">
        <v>17</v>
      </c>
      <c r="N12" t="s">
        <v>34</v>
      </c>
      <c r="P12" t="s">
        <v>176</v>
      </c>
      <c r="T12" t="s">
        <v>14</v>
      </c>
      <c r="V12" t="s">
        <v>47</v>
      </c>
      <c r="W12" t="s">
        <v>5</v>
      </c>
      <c r="Y12" t="s">
        <v>6</v>
      </c>
      <c r="Z12" t="s">
        <v>70</v>
      </c>
      <c r="AB12" t="s">
        <v>24</v>
      </c>
      <c r="AD12" t="s">
        <v>50</v>
      </c>
      <c r="AE12" t="s">
        <v>11</v>
      </c>
      <c r="AI12" t="s">
        <v>6</v>
      </c>
      <c r="AK12" t="s">
        <v>6</v>
      </c>
      <c r="AM12" t="s">
        <v>39</v>
      </c>
      <c r="AN12" t="s">
        <v>5</v>
      </c>
      <c r="AO12" t="s">
        <v>31</v>
      </c>
      <c r="AS12" t="s">
        <v>4</v>
      </c>
      <c r="AT12" t="s">
        <v>31</v>
      </c>
      <c r="AU12" t="s">
        <v>21</v>
      </c>
      <c r="AV12" t="s">
        <v>5</v>
      </c>
      <c r="AW12" t="s">
        <v>21</v>
      </c>
      <c r="AX12" t="s">
        <v>14</v>
      </c>
      <c r="AZ12" t="s">
        <v>39</v>
      </c>
      <c r="BA12" t="s">
        <v>39</v>
      </c>
      <c r="BB12" t="s">
        <v>46</v>
      </c>
      <c r="BC12" t="s">
        <v>18</v>
      </c>
      <c r="BG12" t="s">
        <v>59</v>
      </c>
      <c r="BJ12" t="s">
        <v>39</v>
      </c>
      <c r="BK12" t="s">
        <v>59</v>
      </c>
      <c r="BM12" t="s">
        <v>33</v>
      </c>
      <c r="BN12" t="s">
        <v>11</v>
      </c>
      <c r="BP12" t="s">
        <v>17</v>
      </c>
      <c r="BS12" t="s">
        <v>44</v>
      </c>
      <c r="BU12" t="s">
        <v>21</v>
      </c>
      <c r="BV12" t="s">
        <v>6</v>
      </c>
      <c r="BX12" t="s">
        <v>56</v>
      </c>
      <c r="BY12" t="s">
        <v>33</v>
      </c>
      <c r="BZ12" t="s">
        <v>6</v>
      </c>
      <c r="CA12" t="s">
        <v>44</v>
      </c>
      <c r="CB12" t="s">
        <v>70</v>
      </c>
      <c r="CC12" t="s">
        <v>56</v>
      </c>
      <c r="CF12" t="s">
        <v>56</v>
      </c>
      <c r="CG12" t="s">
        <v>36</v>
      </c>
      <c r="CH12" t="s">
        <v>58</v>
      </c>
      <c r="CI12" t="s">
        <v>58</v>
      </c>
      <c r="CJ12" t="s">
        <v>47</v>
      </c>
      <c r="CK12" t="s">
        <v>59</v>
      </c>
      <c r="CL12" t="s">
        <v>21</v>
      </c>
    </row>
    <row r="13" spans="1:103" ht="15" customHeight="1" x14ac:dyDescent="0.25">
      <c r="A13" t="s">
        <v>54</v>
      </c>
      <c r="D13" t="s">
        <v>34</v>
      </c>
      <c r="F13" t="s">
        <v>11</v>
      </c>
      <c r="G13" t="s">
        <v>54</v>
      </c>
      <c r="H13" t="s">
        <v>33</v>
      </c>
      <c r="K13" t="s">
        <v>18</v>
      </c>
      <c r="L13" t="s">
        <v>24</v>
      </c>
      <c r="N13" t="s">
        <v>18</v>
      </c>
      <c r="P13" t="s">
        <v>24</v>
      </c>
      <c r="T13" t="s">
        <v>36</v>
      </c>
      <c r="V13" t="s">
        <v>50</v>
      </c>
      <c r="W13" t="s">
        <v>70</v>
      </c>
      <c r="Y13" t="s">
        <v>41</v>
      </c>
      <c r="Z13" t="s">
        <v>45</v>
      </c>
      <c r="AB13" t="s">
        <v>49</v>
      </c>
      <c r="AD13" t="s">
        <v>54</v>
      </c>
      <c r="AE13" t="s">
        <v>47</v>
      </c>
      <c r="AI13" t="s">
        <v>4</v>
      </c>
      <c r="AK13" t="s">
        <v>9</v>
      </c>
      <c r="AM13" t="s">
        <v>29</v>
      </c>
      <c r="AN13" t="s">
        <v>14</v>
      </c>
      <c r="AO13" t="s">
        <v>41</v>
      </c>
      <c r="AS13" t="s">
        <v>64</v>
      </c>
      <c r="AT13" t="s">
        <v>38</v>
      </c>
      <c r="AU13" t="s">
        <v>29</v>
      </c>
      <c r="AV13" t="s">
        <v>24</v>
      </c>
      <c r="AW13" t="s">
        <v>26</v>
      </c>
      <c r="AX13" t="s">
        <v>64</v>
      </c>
      <c r="AZ13" t="s">
        <v>49</v>
      </c>
      <c r="BA13" t="s">
        <v>31</v>
      </c>
      <c r="BB13" t="s">
        <v>14</v>
      </c>
      <c r="BC13" t="s">
        <v>29</v>
      </c>
      <c r="BG13" t="s">
        <v>9</v>
      </c>
      <c r="BJ13" t="s">
        <v>26</v>
      </c>
      <c r="BK13" t="s">
        <v>14</v>
      </c>
      <c r="BM13" t="s">
        <v>34</v>
      </c>
      <c r="BN13" t="s">
        <v>54</v>
      </c>
      <c r="BP13" t="s">
        <v>36</v>
      </c>
      <c r="BS13" t="s">
        <v>49</v>
      </c>
      <c r="BU13" t="s">
        <v>33</v>
      </c>
      <c r="BV13" t="s">
        <v>47</v>
      </c>
      <c r="BX13" t="s">
        <v>45</v>
      </c>
      <c r="BY13" t="s">
        <v>26</v>
      </c>
      <c r="BZ13" t="s">
        <v>4</v>
      </c>
      <c r="CA13" t="s">
        <v>49</v>
      </c>
      <c r="CB13" t="s">
        <v>45</v>
      </c>
      <c r="CC13" t="s">
        <v>45</v>
      </c>
      <c r="CF13" t="s">
        <v>41</v>
      </c>
      <c r="CG13" t="s">
        <v>33</v>
      </c>
      <c r="CH13" t="s">
        <v>21</v>
      </c>
      <c r="CI13" t="s">
        <v>44</v>
      </c>
      <c r="CJ13" t="s">
        <v>4</v>
      </c>
      <c r="CK13" t="s">
        <v>56</v>
      </c>
      <c r="CL13" t="s">
        <v>34</v>
      </c>
    </row>
    <row r="14" spans="1:103" ht="15" customHeight="1" x14ac:dyDescent="0.25">
      <c r="A14" t="s">
        <v>48</v>
      </c>
      <c r="D14" t="s">
        <v>22</v>
      </c>
      <c r="F14" t="s">
        <v>7</v>
      </c>
      <c r="G14" t="s">
        <v>15</v>
      </c>
      <c r="H14" t="s">
        <v>35</v>
      </c>
      <c r="K14" t="s">
        <v>22</v>
      </c>
      <c r="L14" t="s">
        <v>28</v>
      </c>
      <c r="N14" t="s">
        <v>23</v>
      </c>
      <c r="P14" t="s">
        <v>32</v>
      </c>
      <c r="T14" t="s">
        <v>20</v>
      </c>
      <c r="V14" t="s">
        <v>51</v>
      </c>
      <c r="W14" t="s">
        <v>10</v>
      </c>
      <c r="Y14" t="s">
        <v>60</v>
      </c>
      <c r="Z14" t="s">
        <v>57</v>
      </c>
      <c r="AB14" t="s">
        <v>57</v>
      </c>
      <c r="AD14" t="s">
        <v>52</v>
      </c>
      <c r="AE14" t="s">
        <v>8</v>
      </c>
      <c r="AI14" t="s">
        <v>12</v>
      </c>
      <c r="AK14" t="s">
        <v>20</v>
      </c>
      <c r="AM14" t="s">
        <v>22</v>
      </c>
      <c r="AN14" t="s">
        <v>15</v>
      </c>
      <c r="AO14" t="s">
        <v>69</v>
      </c>
      <c r="AS14" t="s">
        <v>52</v>
      </c>
      <c r="AT14" t="s">
        <v>37</v>
      </c>
      <c r="AU14" t="s">
        <v>32</v>
      </c>
      <c r="AV14" t="s">
        <v>40</v>
      </c>
      <c r="AW14" t="s">
        <v>23</v>
      </c>
      <c r="AX14" t="s">
        <v>15</v>
      </c>
      <c r="AZ14" t="s">
        <v>19</v>
      </c>
      <c r="BA14" t="s">
        <v>32</v>
      </c>
      <c r="BB14" t="s">
        <v>15</v>
      </c>
      <c r="BC14" t="s">
        <v>19</v>
      </c>
      <c r="BG14" t="s">
        <v>52</v>
      </c>
      <c r="BJ14" t="s">
        <v>23</v>
      </c>
      <c r="BK14" t="s">
        <v>15</v>
      </c>
      <c r="BM14" t="s">
        <v>19</v>
      </c>
      <c r="BN14" t="s">
        <v>13</v>
      </c>
      <c r="BP14" t="s">
        <v>40</v>
      </c>
      <c r="BS14" t="s">
        <v>69</v>
      </c>
      <c r="BU14" t="s">
        <v>22</v>
      </c>
      <c r="BV14" t="s">
        <v>12</v>
      </c>
      <c r="BX14" t="s">
        <v>57</v>
      </c>
      <c r="BY14" t="s">
        <v>37</v>
      </c>
      <c r="BZ14" t="s">
        <v>7</v>
      </c>
      <c r="CA14" t="s">
        <v>60</v>
      </c>
      <c r="CB14" t="s">
        <v>67</v>
      </c>
      <c r="CC14" t="s">
        <v>57</v>
      </c>
      <c r="CF14" t="s">
        <v>60</v>
      </c>
      <c r="CG14" t="s">
        <v>25</v>
      </c>
      <c r="CH14" t="s">
        <v>27</v>
      </c>
      <c r="CI14" t="s">
        <v>62</v>
      </c>
      <c r="CJ14" t="s">
        <v>8</v>
      </c>
      <c r="CK14" t="s">
        <v>62</v>
      </c>
      <c r="CL14" t="s">
        <v>62</v>
      </c>
    </row>
    <row r="15" spans="1:103" ht="15" customHeight="1" x14ac:dyDescent="0.25">
      <c r="A15" t="s">
        <v>43</v>
      </c>
      <c r="D15" t="s">
        <v>20</v>
      </c>
      <c r="F15" t="s">
        <v>8</v>
      </c>
      <c r="G15" t="s">
        <v>42</v>
      </c>
      <c r="H15" t="s">
        <v>23</v>
      </c>
      <c r="K15" t="s">
        <v>35</v>
      </c>
      <c r="L15" t="s">
        <v>25</v>
      </c>
      <c r="N15" t="s">
        <v>20</v>
      </c>
      <c r="P15" t="s">
        <v>55</v>
      </c>
      <c r="T15" t="s">
        <v>15</v>
      </c>
      <c r="V15" t="s">
        <v>43</v>
      </c>
      <c r="W15" t="s">
        <v>62</v>
      </c>
      <c r="Y15" t="s">
        <v>61</v>
      </c>
      <c r="Z15" t="s">
        <v>53</v>
      </c>
      <c r="AB15" t="s">
        <v>28</v>
      </c>
      <c r="AD15" t="s">
        <v>43</v>
      </c>
      <c r="AE15" t="s">
        <v>42</v>
      </c>
      <c r="AI15" t="s">
        <v>8</v>
      </c>
      <c r="AK15" t="s">
        <v>12</v>
      </c>
      <c r="AM15" t="s">
        <v>30</v>
      </c>
      <c r="AN15" t="s">
        <v>8</v>
      </c>
      <c r="AO15" t="s">
        <v>27</v>
      </c>
      <c r="AS15" t="s">
        <v>53</v>
      </c>
      <c r="AT15" t="s">
        <v>30</v>
      </c>
      <c r="AU15" t="s">
        <v>25</v>
      </c>
      <c r="AV15" t="s">
        <v>8</v>
      </c>
      <c r="AW15" t="s">
        <v>53</v>
      </c>
      <c r="AX15" t="s">
        <v>51</v>
      </c>
      <c r="AZ15" t="s">
        <v>30</v>
      </c>
      <c r="BA15" t="s">
        <v>40</v>
      </c>
      <c r="BB15" t="s">
        <v>51</v>
      </c>
      <c r="BC15" t="s">
        <v>20</v>
      </c>
      <c r="BG15" t="s">
        <v>42</v>
      </c>
      <c r="BJ15" t="s">
        <v>30</v>
      </c>
      <c r="BK15" t="s">
        <v>51</v>
      </c>
      <c r="BM15" t="s">
        <v>25</v>
      </c>
      <c r="BN15" t="s">
        <v>43</v>
      </c>
      <c r="BP15" t="s">
        <v>25</v>
      </c>
      <c r="BS15" t="s">
        <v>61</v>
      </c>
      <c r="BU15" t="s">
        <v>40</v>
      </c>
      <c r="BV15" t="s">
        <v>42</v>
      </c>
      <c r="BX15" t="s">
        <v>67</v>
      </c>
      <c r="BY15" t="s">
        <v>30</v>
      </c>
      <c r="BZ15" t="s">
        <v>12</v>
      </c>
      <c r="CA15" t="s">
        <v>61</v>
      </c>
      <c r="CB15" t="s">
        <v>53</v>
      </c>
      <c r="CC15" t="s">
        <v>67</v>
      </c>
      <c r="CF15" t="s">
        <v>61</v>
      </c>
      <c r="CG15" t="s">
        <v>30</v>
      </c>
      <c r="CH15" t="s">
        <v>61</v>
      </c>
      <c r="CI15" t="s">
        <v>48</v>
      </c>
      <c r="CJ15" t="s">
        <v>43</v>
      </c>
      <c r="CK15" t="s">
        <v>61</v>
      </c>
      <c r="CL15" t="s">
        <v>53</v>
      </c>
    </row>
    <row r="16" spans="1:103" ht="15" customHeight="1" x14ac:dyDescent="0.25">
      <c r="A16" t="s">
        <v>49</v>
      </c>
      <c r="D16" t="s">
        <v>17</v>
      </c>
      <c r="F16" t="s">
        <v>58</v>
      </c>
      <c r="G16" t="s">
        <v>58</v>
      </c>
      <c r="H16" t="s">
        <v>18</v>
      </c>
      <c r="K16" t="s">
        <v>36</v>
      </c>
      <c r="L16" t="s">
        <v>9</v>
      </c>
      <c r="N16" t="s">
        <v>6</v>
      </c>
      <c r="P16" t="s">
        <v>21</v>
      </c>
      <c r="T16" t="s">
        <v>6</v>
      </c>
      <c r="V16" t="s">
        <v>49</v>
      </c>
      <c r="W16" t="s">
        <v>11</v>
      </c>
      <c r="Y16" t="s">
        <v>56</v>
      </c>
      <c r="Z16" t="s">
        <v>24</v>
      </c>
      <c r="AB16" t="s">
        <v>11</v>
      </c>
      <c r="AD16" t="s">
        <v>5</v>
      </c>
      <c r="AE16" t="s">
        <v>56</v>
      </c>
      <c r="AI16" t="s">
        <v>44</v>
      </c>
      <c r="AK16" t="s">
        <v>24</v>
      </c>
      <c r="AM16" t="s">
        <v>14</v>
      </c>
      <c r="AN16" t="s">
        <v>39</v>
      </c>
      <c r="AO16" t="s">
        <v>71</v>
      </c>
      <c r="AS16" t="s">
        <v>39</v>
      </c>
      <c r="AT16" t="s">
        <v>49</v>
      </c>
      <c r="AU16" t="s">
        <v>38</v>
      </c>
      <c r="AV16" t="s">
        <v>59</v>
      </c>
      <c r="AW16" t="s">
        <v>34</v>
      </c>
      <c r="AX16" t="s">
        <v>31</v>
      </c>
      <c r="AZ16" t="s">
        <v>58</v>
      </c>
      <c r="BC16" t="s">
        <v>49</v>
      </c>
      <c r="BG16" t="s">
        <v>21</v>
      </c>
      <c r="BJ16" t="s">
        <v>34</v>
      </c>
      <c r="BK16" t="s">
        <v>9</v>
      </c>
      <c r="BM16" t="s">
        <v>38</v>
      </c>
      <c r="BN16" t="s">
        <v>38</v>
      </c>
      <c r="BS16" t="s">
        <v>24</v>
      </c>
      <c r="BV16" t="s">
        <v>71</v>
      </c>
      <c r="BX16" t="s">
        <v>17</v>
      </c>
      <c r="BY16" t="s">
        <v>31</v>
      </c>
      <c r="BZ16" t="s">
        <v>17</v>
      </c>
      <c r="CA16" t="s">
        <v>21</v>
      </c>
      <c r="CB16" t="s">
        <v>41</v>
      </c>
      <c r="CC16" t="s">
        <v>44</v>
      </c>
      <c r="CF16" t="s">
        <v>59</v>
      </c>
      <c r="CG16" t="s">
        <v>5</v>
      </c>
      <c r="CH16" t="s">
        <v>59</v>
      </c>
      <c r="CI16" t="s">
        <v>59</v>
      </c>
      <c r="CJ16" t="s">
        <v>21</v>
      </c>
      <c r="CK16" t="s">
        <v>36</v>
      </c>
    </row>
    <row r="17" spans="1:89" ht="15" customHeight="1" x14ac:dyDescent="0.25">
      <c r="A17" t="s">
        <v>26</v>
      </c>
      <c r="D17" t="s">
        <v>21</v>
      </c>
      <c r="F17" t="s">
        <v>49</v>
      </c>
      <c r="G17" t="s">
        <v>56</v>
      </c>
      <c r="H17" t="s">
        <v>26</v>
      </c>
      <c r="K17" t="s">
        <v>26</v>
      </c>
      <c r="L17" t="s">
        <v>11</v>
      </c>
      <c r="N17" t="s">
        <v>4</v>
      </c>
      <c r="P17" t="s">
        <v>36</v>
      </c>
      <c r="T17" t="s">
        <v>59</v>
      </c>
      <c r="V17" t="s">
        <v>45</v>
      </c>
      <c r="W17" t="s">
        <v>14</v>
      </c>
      <c r="Y17" t="s">
        <v>44</v>
      </c>
      <c r="Z17" t="s">
        <v>29</v>
      </c>
      <c r="AB17" t="s">
        <v>4</v>
      </c>
      <c r="AD17" t="s">
        <v>34</v>
      </c>
      <c r="AE17" t="s">
        <v>41</v>
      </c>
      <c r="AI17" t="s">
        <v>34</v>
      </c>
      <c r="AK17" t="s">
        <v>45</v>
      </c>
      <c r="AM17" t="s">
        <v>33</v>
      </c>
      <c r="AN17" t="s">
        <v>21</v>
      </c>
      <c r="AO17" t="s">
        <v>70</v>
      </c>
      <c r="AS17" t="s">
        <v>31</v>
      </c>
      <c r="AT17" t="s">
        <v>45</v>
      </c>
      <c r="AU17" t="s">
        <v>36</v>
      </c>
      <c r="AV17" t="s">
        <v>72</v>
      </c>
      <c r="AW17" t="s">
        <v>18</v>
      </c>
      <c r="AX17" t="s">
        <v>33</v>
      </c>
      <c r="AZ17" t="s">
        <v>9</v>
      </c>
      <c r="BC17" t="s">
        <v>45</v>
      </c>
      <c r="BG17" t="s">
        <v>54</v>
      </c>
      <c r="BJ17" t="s">
        <v>18</v>
      </c>
      <c r="BK17" t="s">
        <v>11</v>
      </c>
      <c r="BM17" t="s">
        <v>45</v>
      </c>
      <c r="BN17" t="s">
        <v>24</v>
      </c>
      <c r="BS17" t="s">
        <v>33</v>
      </c>
      <c r="BV17" t="s">
        <v>14</v>
      </c>
      <c r="BX17" t="s">
        <v>18</v>
      </c>
      <c r="BY17" t="s">
        <v>36</v>
      </c>
      <c r="BZ17" t="s">
        <v>29</v>
      </c>
      <c r="CA17" t="s">
        <v>36</v>
      </c>
      <c r="CB17" t="s">
        <v>36</v>
      </c>
      <c r="CC17" t="s">
        <v>47</v>
      </c>
      <c r="CF17" t="s">
        <v>26</v>
      </c>
      <c r="CG17" t="s">
        <v>9</v>
      </c>
      <c r="CH17" t="s">
        <v>50</v>
      </c>
      <c r="CI17" t="s">
        <v>50</v>
      </c>
      <c r="CJ17" t="s">
        <v>34</v>
      </c>
      <c r="CK17" t="s">
        <v>26</v>
      </c>
    </row>
    <row r="18" spans="1:89" ht="15" customHeight="1" x14ac:dyDescent="0.25">
      <c r="A18" t="s">
        <v>27</v>
      </c>
      <c r="D18" t="s">
        <v>35</v>
      </c>
      <c r="F18" t="s">
        <v>63</v>
      </c>
      <c r="G18" t="s">
        <v>60</v>
      </c>
      <c r="H18" t="s">
        <v>22</v>
      </c>
      <c r="K18" t="s">
        <v>19</v>
      </c>
      <c r="L18" t="s">
        <v>7</v>
      </c>
      <c r="N18" t="s">
        <v>7</v>
      </c>
      <c r="P18" t="s">
        <v>28</v>
      </c>
      <c r="T18" t="s">
        <v>8</v>
      </c>
      <c r="V18" t="s">
        <v>57</v>
      </c>
      <c r="W18" t="s">
        <v>13</v>
      </c>
      <c r="Y18" t="s">
        <v>66</v>
      </c>
      <c r="Z18" t="s">
        <v>22</v>
      </c>
      <c r="AB18" t="s">
        <v>7</v>
      </c>
      <c r="AD18" t="s">
        <v>13</v>
      </c>
      <c r="AE18" t="s">
        <v>57</v>
      </c>
      <c r="AI18" t="s">
        <v>19</v>
      </c>
      <c r="AK18" t="s">
        <v>19</v>
      </c>
      <c r="AM18" t="s">
        <v>19</v>
      </c>
      <c r="AN18" t="s">
        <v>20</v>
      </c>
      <c r="AO18" t="s">
        <v>22</v>
      </c>
      <c r="AS18" t="s">
        <v>32</v>
      </c>
      <c r="AT18" t="s">
        <v>57</v>
      </c>
      <c r="AU18" t="s">
        <v>40</v>
      </c>
      <c r="AV18" t="s">
        <v>51</v>
      </c>
      <c r="AW18" t="s">
        <v>20</v>
      </c>
      <c r="AX18" t="s">
        <v>40</v>
      </c>
      <c r="AZ18" t="s">
        <v>12</v>
      </c>
      <c r="BC18" t="s">
        <v>67</v>
      </c>
      <c r="BG18" t="s">
        <v>60</v>
      </c>
      <c r="BJ18" t="s">
        <v>32</v>
      </c>
      <c r="BK18" t="s">
        <v>19</v>
      </c>
      <c r="BM18" t="s">
        <v>35</v>
      </c>
      <c r="BN18" t="s">
        <v>35</v>
      </c>
      <c r="BS18" t="s">
        <v>32</v>
      </c>
      <c r="BV18" t="s">
        <v>62</v>
      </c>
      <c r="BX18" t="s">
        <v>19</v>
      </c>
      <c r="BY18" t="s">
        <v>22</v>
      </c>
      <c r="BZ18" t="s">
        <v>27</v>
      </c>
      <c r="CA18" t="s">
        <v>32</v>
      </c>
      <c r="CB18" t="s">
        <v>40</v>
      </c>
      <c r="CC18" t="s">
        <v>55</v>
      </c>
      <c r="CF18" t="s">
        <v>53</v>
      </c>
      <c r="CG18" t="s">
        <v>60</v>
      </c>
      <c r="CH18" t="s">
        <v>62</v>
      </c>
      <c r="CI18" t="s">
        <v>37</v>
      </c>
      <c r="CJ18" t="s">
        <v>40</v>
      </c>
      <c r="CK18" t="s">
        <v>22</v>
      </c>
    </row>
    <row r="19" spans="1:89" ht="15" customHeight="1" x14ac:dyDescent="0.25">
      <c r="A19" t="s">
        <v>28</v>
      </c>
      <c r="D19" t="s">
        <v>23</v>
      </c>
      <c r="F19" t="s">
        <v>48</v>
      </c>
      <c r="G19" t="s">
        <v>48</v>
      </c>
      <c r="H19" t="s">
        <v>30</v>
      </c>
      <c r="K19" t="s">
        <v>23</v>
      </c>
      <c r="L19" t="s">
        <v>8</v>
      </c>
      <c r="N19" t="s">
        <v>12</v>
      </c>
      <c r="P19" t="s">
        <v>30</v>
      </c>
      <c r="T19" t="s">
        <v>52</v>
      </c>
      <c r="V19" t="s">
        <v>53</v>
      </c>
      <c r="W19" t="s">
        <v>15</v>
      </c>
      <c r="Y19" t="s">
        <v>53</v>
      </c>
      <c r="Z19" t="s">
        <v>20</v>
      </c>
      <c r="AB19" t="s">
        <v>55</v>
      </c>
      <c r="AD19" t="s">
        <v>25</v>
      </c>
      <c r="AE19" t="s">
        <v>60</v>
      </c>
      <c r="AI19" t="s">
        <v>25</v>
      </c>
      <c r="AK19" t="s">
        <v>67</v>
      </c>
      <c r="AM19" t="s">
        <v>15</v>
      </c>
      <c r="AN19" t="s">
        <v>30</v>
      </c>
      <c r="AO19" t="s">
        <v>62</v>
      </c>
      <c r="AS19" t="s">
        <v>37</v>
      </c>
      <c r="AT19" t="s">
        <v>67</v>
      </c>
      <c r="AU19" t="s">
        <v>35</v>
      </c>
      <c r="AV19" t="s">
        <v>60</v>
      </c>
      <c r="AW19" t="s">
        <v>30</v>
      </c>
      <c r="AX19" t="s">
        <v>27</v>
      </c>
      <c r="AZ19" t="s">
        <v>15</v>
      </c>
      <c r="BC19" t="s">
        <v>55</v>
      </c>
      <c r="BG19" t="s">
        <v>43</v>
      </c>
      <c r="BJ19" t="s">
        <v>37</v>
      </c>
      <c r="BK19" t="s">
        <v>12</v>
      </c>
      <c r="BM19" t="s">
        <v>57</v>
      </c>
      <c r="BN19" t="s">
        <v>25</v>
      </c>
      <c r="BS19" t="s">
        <v>23</v>
      </c>
      <c r="BV19" t="s">
        <v>63</v>
      </c>
      <c r="BX19" t="s">
        <v>28</v>
      </c>
      <c r="BY19" t="s">
        <v>25</v>
      </c>
      <c r="BZ19" t="s">
        <v>28</v>
      </c>
      <c r="CA19" t="s">
        <v>40</v>
      </c>
      <c r="CB19" t="s">
        <v>55</v>
      </c>
      <c r="CC19" t="s">
        <v>43</v>
      </c>
      <c r="CF19" t="s">
        <v>63</v>
      </c>
      <c r="CG19" t="s">
        <v>55</v>
      </c>
      <c r="CH19" t="s">
        <v>63</v>
      </c>
      <c r="CI19" t="s">
        <v>63</v>
      </c>
      <c r="CJ19" t="s">
        <v>27</v>
      </c>
      <c r="CK19" t="s">
        <v>53</v>
      </c>
    </row>
    <row r="20" spans="1:89" ht="15" customHeight="1" x14ac:dyDescent="0.25">
      <c r="A20" t="s">
        <v>24</v>
      </c>
      <c r="D20" t="s">
        <v>56</v>
      </c>
      <c r="F20" t="s">
        <v>17</v>
      </c>
      <c r="G20" t="s">
        <v>29</v>
      </c>
      <c r="H20" t="s">
        <v>6</v>
      </c>
      <c r="K20" t="s">
        <v>21</v>
      </c>
      <c r="L20" t="s">
        <v>31</v>
      </c>
      <c r="V20" t="s">
        <v>34</v>
      </c>
      <c r="W20" t="s">
        <v>39</v>
      </c>
      <c r="Y20" t="s">
        <v>9</v>
      </c>
      <c r="AB20" t="s">
        <v>26</v>
      </c>
      <c r="AD20" t="s">
        <v>71</v>
      </c>
      <c r="AE20" t="s">
        <v>71</v>
      </c>
      <c r="AI20" t="s">
        <v>31</v>
      </c>
      <c r="AK20" t="s">
        <v>29</v>
      </c>
      <c r="AM20" t="s">
        <v>38</v>
      </c>
      <c r="AO20" t="s">
        <v>9</v>
      </c>
      <c r="AT20" t="s">
        <v>5</v>
      </c>
      <c r="AU20" t="s">
        <v>33</v>
      </c>
      <c r="AW20" t="s">
        <v>17</v>
      </c>
      <c r="AZ20" t="s">
        <v>34</v>
      </c>
      <c r="BC20" t="s">
        <v>59</v>
      </c>
      <c r="BK20" t="s">
        <v>21</v>
      </c>
      <c r="BM20" t="s">
        <v>44</v>
      </c>
      <c r="BS20" t="s">
        <v>34</v>
      </c>
      <c r="BX20" t="s">
        <v>38</v>
      </c>
      <c r="BY20" t="s">
        <v>46</v>
      </c>
      <c r="BZ20" t="s">
        <v>38</v>
      </c>
      <c r="CA20" t="s">
        <v>33</v>
      </c>
      <c r="CB20" t="s">
        <v>26</v>
      </c>
      <c r="CC20" t="s">
        <v>6</v>
      </c>
      <c r="CF20" t="s">
        <v>6</v>
      </c>
      <c r="CG20" t="s">
        <v>56</v>
      </c>
    </row>
    <row r="21" spans="1:89" ht="15" customHeight="1" x14ac:dyDescent="0.25">
      <c r="A21" t="s">
        <v>4</v>
      </c>
      <c r="D21" t="s">
        <v>36</v>
      </c>
      <c r="F21" t="s">
        <v>31</v>
      </c>
      <c r="G21" t="s">
        <v>26</v>
      </c>
      <c r="H21" t="s">
        <v>34</v>
      </c>
      <c r="K21" t="s">
        <v>4</v>
      </c>
      <c r="L21" t="s">
        <v>34</v>
      </c>
      <c r="V21" t="s">
        <v>18</v>
      </c>
      <c r="W21" t="s">
        <v>21</v>
      </c>
      <c r="Y21" t="s">
        <v>33</v>
      </c>
      <c r="AB21" t="s">
        <v>54</v>
      </c>
      <c r="AD21" t="s">
        <v>47</v>
      </c>
      <c r="AE21" t="s">
        <v>70</v>
      </c>
      <c r="AI21" t="s">
        <v>18</v>
      </c>
      <c r="AK21" t="s">
        <v>26</v>
      </c>
      <c r="AM21" t="s">
        <v>26</v>
      </c>
      <c r="AO21" t="s">
        <v>33</v>
      </c>
      <c r="AT21" t="s">
        <v>56</v>
      </c>
      <c r="AU21" t="s">
        <v>26</v>
      </c>
      <c r="AW21" t="s">
        <v>49</v>
      </c>
      <c r="AZ21" t="s">
        <v>45</v>
      </c>
      <c r="BC21" t="s">
        <v>41</v>
      </c>
      <c r="BK21" t="s">
        <v>47</v>
      </c>
      <c r="BM21" t="s">
        <v>26</v>
      </c>
      <c r="BS21" t="s">
        <v>29</v>
      </c>
      <c r="BX21" t="s">
        <v>29</v>
      </c>
      <c r="BY21" t="s">
        <v>49</v>
      </c>
      <c r="BZ21" t="s">
        <v>18</v>
      </c>
      <c r="CA21" t="s">
        <v>4</v>
      </c>
      <c r="CB21" t="s">
        <v>54</v>
      </c>
      <c r="CC21" t="s">
        <v>41</v>
      </c>
      <c r="CF21" t="s">
        <v>21</v>
      </c>
      <c r="CG21" t="s">
        <v>26</v>
      </c>
    </row>
    <row r="22" spans="1:89" ht="15" customHeight="1" x14ac:dyDescent="0.25">
      <c r="A22" t="s">
        <v>8</v>
      </c>
      <c r="D22" t="s">
        <v>57</v>
      </c>
      <c r="F22" t="s">
        <v>32</v>
      </c>
      <c r="G22" t="s">
        <v>20</v>
      </c>
      <c r="H22" t="s">
        <v>7</v>
      </c>
      <c r="K22" t="s">
        <v>12</v>
      </c>
      <c r="L22" t="s">
        <v>32</v>
      </c>
      <c r="V22" t="s">
        <v>32</v>
      </c>
      <c r="W22" t="s">
        <v>35</v>
      </c>
      <c r="Y22" t="s">
        <v>32</v>
      </c>
      <c r="AB22" t="s">
        <v>37</v>
      </c>
      <c r="AD22" t="s">
        <v>69</v>
      </c>
      <c r="AE22" t="s">
        <v>66</v>
      </c>
      <c r="AI22" t="s">
        <v>22</v>
      </c>
      <c r="AK22" t="s">
        <v>40</v>
      </c>
      <c r="AM22" t="s">
        <v>40</v>
      </c>
      <c r="AO22" t="s">
        <v>20</v>
      </c>
      <c r="AT22" t="s">
        <v>13</v>
      </c>
      <c r="AU22" t="s">
        <v>19</v>
      </c>
      <c r="AW22" t="s">
        <v>35</v>
      </c>
      <c r="AZ22" t="s">
        <v>22</v>
      </c>
      <c r="BC22" t="s">
        <v>52</v>
      </c>
      <c r="BK22" t="s">
        <v>37</v>
      </c>
      <c r="BM22" t="s">
        <v>23</v>
      </c>
      <c r="BS22" t="s">
        <v>27</v>
      </c>
      <c r="BX22" t="s">
        <v>35</v>
      </c>
      <c r="BY22" t="s">
        <v>62</v>
      </c>
      <c r="BZ22" t="s">
        <v>23</v>
      </c>
      <c r="CA22" t="s">
        <v>22</v>
      </c>
      <c r="CB22" t="s">
        <v>22</v>
      </c>
      <c r="CC22" t="s">
        <v>12</v>
      </c>
      <c r="CF22" t="s">
        <v>40</v>
      </c>
      <c r="CG22" t="s">
        <v>57</v>
      </c>
    </row>
    <row r="23" spans="1:89" ht="15" customHeight="1" x14ac:dyDescent="0.25">
      <c r="A23" t="s">
        <v>25</v>
      </c>
      <c r="D23" t="s">
        <v>19</v>
      </c>
      <c r="F23" t="s">
        <v>19</v>
      </c>
      <c r="G23" t="s">
        <v>55</v>
      </c>
      <c r="H23" t="s">
        <v>28</v>
      </c>
      <c r="K23" t="s">
        <v>43</v>
      </c>
      <c r="L23" t="s">
        <v>57</v>
      </c>
      <c r="V23" t="s">
        <v>40</v>
      </c>
      <c r="W23" t="s">
        <v>23</v>
      </c>
      <c r="Y23" t="s">
        <v>40</v>
      </c>
      <c r="AB23" t="s">
        <v>42</v>
      </c>
      <c r="AD23" t="s">
        <v>55</v>
      </c>
      <c r="AE23" t="s">
        <v>62</v>
      </c>
      <c r="AI23" t="s">
        <v>23</v>
      </c>
      <c r="AK23" t="s">
        <v>37</v>
      </c>
      <c r="AM23" t="s">
        <v>25</v>
      </c>
      <c r="AO23" t="s">
        <v>13</v>
      </c>
      <c r="AT23" t="s">
        <v>55</v>
      </c>
      <c r="AU23" t="s">
        <v>20</v>
      </c>
      <c r="AW23" t="s">
        <v>25</v>
      </c>
      <c r="AZ23" t="s">
        <v>57</v>
      </c>
      <c r="BC23" t="s">
        <v>30</v>
      </c>
      <c r="BK23" t="s">
        <v>42</v>
      </c>
      <c r="BM23" t="s">
        <v>30</v>
      </c>
      <c r="BS23" t="s">
        <v>25</v>
      </c>
      <c r="BX23" t="s">
        <v>23</v>
      </c>
      <c r="BY23" t="s">
        <v>55</v>
      </c>
      <c r="BZ23" t="s">
        <v>37</v>
      </c>
      <c r="CA23" t="s">
        <v>12</v>
      </c>
      <c r="CB23" t="s">
        <v>43</v>
      </c>
      <c r="CC23" t="s">
        <v>60</v>
      </c>
      <c r="CF23" t="s">
        <v>12</v>
      </c>
      <c r="CG23" t="s">
        <v>27</v>
      </c>
    </row>
    <row r="24" spans="1:89" ht="15" customHeight="1" x14ac:dyDescent="0.25">
      <c r="G24" t="s">
        <v>9</v>
      </c>
      <c r="L24" t="s">
        <v>38</v>
      </c>
      <c r="AD24" t="s">
        <v>56</v>
      </c>
      <c r="AE24" t="s">
        <v>59</v>
      </c>
      <c r="AK24" t="s">
        <v>33</v>
      </c>
      <c r="AT24" t="s">
        <v>24</v>
      </c>
      <c r="BC24" t="s">
        <v>9</v>
      </c>
      <c r="BK24" t="s">
        <v>41</v>
      </c>
      <c r="BX24" t="s">
        <v>44</v>
      </c>
      <c r="BZ24" t="s">
        <v>11</v>
      </c>
      <c r="CA24" t="s">
        <v>31</v>
      </c>
      <c r="CB24" t="s">
        <v>17</v>
      </c>
      <c r="CC24" t="s">
        <v>24</v>
      </c>
    </row>
    <row r="25" spans="1:89" ht="15" customHeight="1" x14ac:dyDescent="0.25">
      <c r="G25" t="s">
        <v>47</v>
      </c>
      <c r="L25" t="s">
        <v>49</v>
      </c>
      <c r="AD25" t="s">
        <v>45</v>
      </c>
      <c r="AE25" t="s">
        <v>54</v>
      </c>
      <c r="AK25" t="s">
        <v>18</v>
      </c>
      <c r="AT25" t="s">
        <v>26</v>
      </c>
      <c r="BC25" t="s">
        <v>24</v>
      </c>
      <c r="BK25" t="s">
        <v>50</v>
      </c>
      <c r="BX25" t="s">
        <v>24</v>
      </c>
      <c r="BZ25" t="s">
        <v>47</v>
      </c>
      <c r="CA25" t="s">
        <v>18</v>
      </c>
      <c r="CB25" t="s">
        <v>29</v>
      </c>
      <c r="CC25" t="s">
        <v>34</v>
      </c>
    </row>
    <row r="26" spans="1:89" ht="15" customHeight="1" x14ac:dyDescent="0.25">
      <c r="G26" t="s">
        <v>8</v>
      </c>
      <c r="L26" t="s">
        <v>22</v>
      </c>
      <c r="AD26" t="s">
        <v>66</v>
      </c>
      <c r="AE26" t="s">
        <v>7</v>
      </c>
      <c r="AK26" t="s">
        <v>23</v>
      </c>
      <c r="AT26" t="s">
        <v>27</v>
      </c>
      <c r="BC26" t="s">
        <v>40</v>
      </c>
      <c r="BK26" t="s">
        <v>52</v>
      </c>
      <c r="BX26" t="s">
        <v>53</v>
      </c>
      <c r="BZ26" t="s">
        <v>13</v>
      </c>
      <c r="CA26" t="s">
        <v>20</v>
      </c>
      <c r="CB26" t="s">
        <v>37</v>
      </c>
      <c r="CC26" t="s">
        <v>19</v>
      </c>
    </row>
    <row r="27" spans="1:89" ht="15" customHeight="1" x14ac:dyDescent="0.25">
      <c r="G27" t="s">
        <v>65</v>
      </c>
      <c r="L27" t="s">
        <v>20</v>
      </c>
      <c r="AD27" t="s">
        <v>62</v>
      </c>
      <c r="AE27" t="s">
        <v>43</v>
      </c>
      <c r="AK27" t="s">
        <v>30</v>
      </c>
      <c r="AT27" t="s">
        <v>23</v>
      </c>
      <c r="BC27" t="s">
        <v>12</v>
      </c>
      <c r="BK27" t="s">
        <v>60</v>
      </c>
      <c r="BX27" t="s">
        <v>55</v>
      </c>
      <c r="BZ27" t="s">
        <v>42</v>
      </c>
      <c r="CA27" t="s">
        <v>25</v>
      </c>
      <c r="CB27" t="s">
        <v>30</v>
      </c>
      <c r="CC27" t="s">
        <v>23</v>
      </c>
    </row>
    <row r="28" spans="1:89" ht="15" customHeight="1" x14ac:dyDescent="0.25"/>
    <row r="29" spans="1:89" ht="15" customHeight="1" x14ac:dyDescent="0.25"/>
    <row r="30" spans="1:89" ht="15" customHeight="1" x14ac:dyDescent="0.25"/>
    <row r="31" spans="1:89" ht="15" customHeight="1" x14ac:dyDescent="0.25"/>
    <row r="32" spans="1:8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Z14"/>
  <sheetViews>
    <sheetView topLeftCell="CO1" zoomScale="96" zoomScaleNormal="96" workbookViewId="0">
      <selection activeCell="CZ1" sqref="CZ1:CZ1048576"/>
    </sheetView>
  </sheetViews>
  <sheetFormatPr defaultRowHeight="14.45" customHeight="1" x14ac:dyDescent="0.25"/>
  <cols>
    <col min="1" max="1" width="72.140625" customWidth="1"/>
    <col min="2" max="2" width="58.28515625" customWidth="1"/>
    <col min="3" max="3" width="62.5703125" customWidth="1"/>
    <col min="4" max="4" width="79.42578125" customWidth="1"/>
    <col min="5" max="5" width="74" customWidth="1"/>
    <col min="6" max="6" width="71.140625" customWidth="1"/>
    <col min="7" max="7" width="70.7109375" customWidth="1"/>
    <col min="8" max="8" width="60.140625" customWidth="1"/>
    <col min="9" max="9" width="73" customWidth="1"/>
    <col min="10" max="10" width="58.28515625" customWidth="1"/>
    <col min="11" max="11" width="57.42578125" customWidth="1"/>
    <col min="12" max="12" width="59.7109375" customWidth="1"/>
    <col min="13" max="13" width="73.85546875" customWidth="1"/>
    <col min="14" max="14" width="64.85546875" customWidth="1"/>
    <col min="15" max="15" width="70.28515625" customWidth="1"/>
    <col min="16" max="16" width="66.140625" customWidth="1"/>
    <col min="17" max="17" width="41.5703125" customWidth="1"/>
    <col min="18" max="18" width="31.140625" customWidth="1"/>
    <col min="19" max="19" width="62.42578125" customWidth="1"/>
    <col min="21" max="21" width="14.5703125" customWidth="1"/>
    <col min="22" max="22" width="48.42578125" customWidth="1"/>
    <col min="23" max="23" width="44" customWidth="1"/>
    <col min="24" max="24" width="69.42578125" customWidth="1"/>
    <col min="25" max="25" width="68.85546875" customWidth="1"/>
    <col min="26" max="26" width="44.140625" customWidth="1"/>
    <col min="27" max="27" width="64.28515625" customWidth="1"/>
    <col min="28" max="28" width="46.85546875" customWidth="1"/>
    <col min="29" max="29" width="53.140625" customWidth="1"/>
    <col min="30" max="30" width="57.42578125" customWidth="1"/>
    <col min="31" max="31" width="55.140625" customWidth="1"/>
    <col min="32" max="32" width="60.85546875" customWidth="1"/>
    <col min="33" max="33" width="48.140625" customWidth="1"/>
    <col min="34" max="34" width="54.5703125" customWidth="1"/>
    <col min="35" max="35" width="80" customWidth="1"/>
    <col min="36" max="36" width="79.28515625" customWidth="1"/>
    <col min="37" max="37" width="71.85546875" customWidth="1"/>
    <col min="38" max="38" width="62.7109375" customWidth="1"/>
    <col min="39" max="39" width="53.28515625" customWidth="1"/>
    <col min="40" max="40" width="63.5703125" customWidth="1"/>
    <col min="41" max="42" width="70.5703125" customWidth="1"/>
    <col min="43" max="43" width="60.7109375" customWidth="1"/>
    <col min="44" max="44" width="54.42578125" customWidth="1"/>
    <col min="45" max="45" width="85.140625" customWidth="1"/>
    <col min="46" max="46" width="52.5703125" customWidth="1"/>
    <col min="47" max="47" width="18.42578125" customWidth="1"/>
    <col min="48" max="48" width="66.42578125" customWidth="1"/>
    <col min="49" max="49" width="48.85546875" customWidth="1"/>
    <col min="50" max="50" width="27.7109375" customWidth="1"/>
    <col min="51" max="51" width="51.85546875" customWidth="1"/>
    <col min="52" max="52" width="67.7109375" customWidth="1"/>
    <col min="53" max="53" width="13.7109375" customWidth="1"/>
    <col min="54" max="54" width="51.7109375" customWidth="1"/>
    <col min="55" max="55" width="23.42578125" customWidth="1"/>
    <col min="56" max="56" width="46.42578125" customWidth="1"/>
    <col min="57" max="57" width="58.140625" customWidth="1"/>
    <col min="58" max="58" width="57.42578125" customWidth="1"/>
    <col min="59" max="59" width="49.140625" customWidth="1"/>
    <col min="60" max="60" width="25.5703125" customWidth="1"/>
    <col min="61" max="61" width="12.7109375" customWidth="1"/>
    <col min="62" max="62" width="47.85546875" customWidth="1"/>
    <col min="63" max="63" width="65" customWidth="1"/>
    <col min="64" max="64" width="53.7109375" customWidth="1"/>
    <col min="65" max="65" width="73.85546875" customWidth="1"/>
    <col min="66" max="66" width="67.140625" customWidth="1"/>
    <col min="67" max="67" width="57.85546875" customWidth="1"/>
    <col min="68" max="68" width="77.140625" customWidth="1"/>
    <col min="69" max="69" width="55.5703125" customWidth="1"/>
    <col min="70" max="70" width="69.5703125" customWidth="1"/>
    <col min="71" max="71" width="85.85546875" customWidth="1"/>
    <col min="72" max="72" width="61" customWidth="1"/>
    <col min="73" max="73" width="55.7109375" customWidth="1"/>
    <col min="74" max="74" width="70.7109375" customWidth="1"/>
    <col min="76" max="76" width="9.28515625" customWidth="1"/>
    <col min="77" max="77" width="66.140625" customWidth="1"/>
    <col min="78" max="78" width="56.28515625" customWidth="1"/>
    <col min="79" max="79" width="41.28515625" customWidth="1"/>
    <col min="80" max="80" width="75.7109375" customWidth="1"/>
    <col min="81" max="81" width="65.7109375" customWidth="1"/>
    <col min="82" max="82" width="52.28515625" customWidth="1"/>
    <col min="83" max="83" width="49.7109375" customWidth="1"/>
    <col min="89" max="89" width="44.42578125" customWidth="1"/>
    <col min="90" max="90" width="54.28515625" customWidth="1"/>
    <col min="101" max="101" width="66.85546875" customWidth="1"/>
    <col min="104" max="104" width="57.5703125" customWidth="1"/>
  </cols>
  <sheetData>
    <row r="3" spans="1:104" ht="15" customHeight="1" x14ac:dyDescent="0.25">
      <c r="A3" t="s">
        <v>73</v>
      </c>
      <c r="B3" t="s">
        <v>78</v>
      </c>
      <c r="C3" t="s">
        <v>83</v>
      </c>
      <c r="D3" t="s">
        <v>74</v>
      </c>
      <c r="E3" t="s">
        <v>85</v>
      </c>
      <c r="F3" t="s">
        <v>75</v>
      </c>
      <c r="G3" t="s">
        <v>76</v>
      </c>
      <c r="H3" t="s">
        <v>87</v>
      </c>
      <c r="I3" t="s">
        <v>97</v>
      </c>
      <c r="J3" t="s">
        <v>99</v>
      </c>
      <c r="K3" t="s">
        <v>84</v>
      </c>
      <c r="L3" t="s">
        <v>80</v>
      </c>
      <c r="M3" t="s">
        <v>96</v>
      </c>
      <c r="N3" t="s">
        <v>98</v>
      </c>
      <c r="O3" t="s">
        <v>108</v>
      </c>
      <c r="P3" t="s">
        <v>79</v>
      </c>
      <c r="Q3" t="s">
        <v>82</v>
      </c>
      <c r="R3" t="s">
        <v>88</v>
      </c>
      <c r="S3" t="s">
        <v>101</v>
      </c>
      <c r="T3" t="s">
        <v>86</v>
      </c>
      <c r="U3" t="s">
        <v>81</v>
      </c>
      <c r="V3" t="s">
        <v>90</v>
      </c>
      <c r="W3" t="s">
        <v>77</v>
      </c>
      <c r="X3" t="s">
        <v>110</v>
      </c>
      <c r="Y3" t="s">
        <v>89</v>
      </c>
      <c r="Z3" t="s">
        <v>93</v>
      </c>
      <c r="AA3" t="s">
        <v>105</v>
      </c>
      <c r="AB3" t="s">
        <v>100</v>
      </c>
      <c r="AC3" t="s">
        <v>113</v>
      </c>
      <c r="AD3" t="s">
        <v>91</v>
      </c>
      <c r="AE3" t="s">
        <v>102</v>
      </c>
      <c r="AF3" t="s">
        <v>107</v>
      </c>
      <c r="AG3" t="s">
        <v>141</v>
      </c>
      <c r="AH3" t="s">
        <v>116</v>
      </c>
      <c r="AI3" t="s">
        <v>95</v>
      </c>
      <c r="AJ3" t="s">
        <v>123</v>
      </c>
      <c r="AK3" t="s">
        <v>114</v>
      </c>
      <c r="AL3" t="s">
        <v>118</v>
      </c>
      <c r="AM3" t="s">
        <v>106</v>
      </c>
      <c r="AN3" t="s">
        <v>115</v>
      </c>
      <c r="AO3" t="s">
        <v>94</v>
      </c>
      <c r="AP3" t="s">
        <v>129</v>
      </c>
      <c r="AQ3" t="s">
        <v>133</v>
      </c>
      <c r="AR3" t="s">
        <v>117</v>
      </c>
      <c r="AS3" t="s">
        <v>92</v>
      </c>
      <c r="AT3" t="s">
        <v>104</v>
      </c>
      <c r="AU3" t="s">
        <v>109</v>
      </c>
      <c r="AV3" t="s">
        <v>103</v>
      </c>
      <c r="AW3" t="s">
        <v>111</v>
      </c>
      <c r="AX3" t="s">
        <v>112</v>
      </c>
      <c r="AY3" t="s">
        <v>157</v>
      </c>
      <c r="AZ3" t="s">
        <v>121</v>
      </c>
      <c r="BA3" t="s">
        <v>137</v>
      </c>
      <c r="BB3" t="s">
        <v>134</v>
      </c>
      <c r="BC3" t="s">
        <v>120</v>
      </c>
      <c r="BD3" t="s">
        <v>142</v>
      </c>
      <c r="BE3" t="s">
        <v>155</v>
      </c>
      <c r="BF3" t="s">
        <v>152</v>
      </c>
      <c r="BG3" t="s">
        <v>148</v>
      </c>
      <c r="BH3" t="s">
        <v>125</v>
      </c>
      <c r="BI3" t="s">
        <v>151</v>
      </c>
      <c r="BJ3" t="s">
        <v>131</v>
      </c>
      <c r="BK3" t="s">
        <v>140</v>
      </c>
      <c r="BL3" t="s">
        <v>130</v>
      </c>
      <c r="BM3" t="s">
        <v>128</v>
      </c>
      <c r="BN3" t="s">
        <v>136</v>
      </c>
      <c r="BO3" t="s">
        <v>156</v>
      </c>
      <c r="BP3" t="s">
        <v>159</v>
      </c>
      <c r="BQ3" t="s">
        <v>146</v>
      </c>
      <c r="BR3" t="s">
        <v>162</v>
      </c>
      <c r="BS3" t="s">
        <v>119</v>
      </c>
      <c r="BT3" t="s">
        <v>132</v>
      </c>
      <c r="BU3" t="s">
        <v>122</v>
      </c>
      <c r="BV3" t="s">
        <v>126</v>
      </c>
      <c r="BW3" t="s">
        <v>165</v>
      </c>
      <c r="BX3" t="s">
        <v>150</v>
      </c>
      <c r="BY3" t="s">
        <v>144</v>
      </c>
      <c r="BZ3" t="s">
        <v>124</v>
      </c>
      <c r="CA3" t="s">
        <v>143</v>
      </c>
      <c r="CB3" t="s">
        <v>138</v>
      </c>
      <c r="CC3" t="s">
        <v>153</v>
      </c>
      <c r="CD3" t="s">
        <v>161</v>
      </c>
      <c r="CE3" t="s">
        <v>167</v>
      </c>
      <c r="CF3" t="s">
        <v>145</v>
      </c>
      <c r="CG3" t="s">
        <v>127</v>
      </c>
      <c r="CH3" t="s">
        <v>135</v>
      </c>
      <c r="CI3" t="s">
        <v>158</v>
      </c>
      <c r="CJ3" t="s">
        <v>139</v>
      </c>
      <c r="CK3" t="s">
        <v>147</v>
      </c>
      <c r="CL3" t="s">
        <v>149</v>
      </c>
      <c r="CM3" t="s">
        <v>164</v>
      </c>
      <c r="CN3" t="s">
        <v>154</v>
      </c>
      <c r="CO3" t="s">
        <v>173</v>
      </c>
      <c r="CP3" t="s">
        <v>160</v>
      </c>
      <c r="CQ3" t="s">
        <v>168</v>
      </c>
      <c r="CR3" t="s">
        <v>174</v>
      </c>
      <c r="CS3" t="s">
        <v>163</v>
      </c>
      <c r="CT3" t="s">
        <v>166</v>
      </c>
      <c r="CU3" t="s">
        <v>171</v>
      </c>
      <c r="CV3" t="s">
        <v>169</v>
      </c>
      <c r="CW3" t="s">
        <v>170</v>
      </c>
      <c r="CX3" t="s">
        <v>172</v>
      </c>
      <c r="CY3" t="s">
        <v>175</v>
      </c>
      <c r="CZ3" s="67"/>
    </row>
    <row r="4" spans="1:104" ht="15" customHeight="1" x14ac:dyDescent="0.25">
      <c r="A4" t="s">
        <v>177</v>
      </c>
      <c r="B4" t="s">
        <v>178</v>
      </c>
      <c r="C4" t="s">
        <v>179</v>
      </c>
      <c r="D4" t="s">
        <v>180</v>
      </c>
      <c r="E4" t="s">
        <v>181</v>
      </c>
      <c r="F4" t="s">
        <v>182</v>
      </c>
      <c r="G4" t="s">
        <v>183</v>
      </c>
      <c r="H4" t="s">
        <v>184</v>
      </c>
      <c r="I4" t="s">
        <v>185</v>
      </c>
      <c r="J4" t="s">
        <v>186</v>
      </c>
      <c r="K4" t="s">
        <v>187</v>
      </c>
      <c r="L4" t="s">
        <v>188</v>
      </c>
      <c r="M4" t="s">
        <v>189</v>
      </c>
      <c r="N4" t="s">
        <v>190</v>
      </c>
      <c r="O4" t="s">
        <v>191</v>
      </c>
      <c r="P4" t="s">
        <v>192</v>
      </c>
      <c r="Q4" t="s">
        <v>193</v>
      </c>
      <c r="R4" t="s">
        <v>194</v>
      </c>
      <c r="S4" t="s">
        <v>195</v>
      </c>
      <c r="T4" t="s">
        <v>196</v>
      </c>
      <c r="U4" t="s">
        <v>197</v>
      </c>
      <c r="V4" t="s">
        <v>198</v>
      </c>
      <c r="W4" t="s">
        <v>199</v>
      </c>
      <c r="X4" t="s">
        <v>200</v>
      </c>
      <c r="Y4" t="s">
        <v>201</v>
      </c>
      <c r="Z4" t="s">
        <v>202</v>
      </c>
      <c r="AA4" t="s">
        <v>203</v>
      </c>
      <c r="AB4" t="s">
        <v>204</v>
      </c>
      <c r="AC4" t="s">
        <v>205</v>
      </c>
      <c r="AD4" t="s">
        <v>206</v>
      </c>
      <c r="AE4" t="s">
        <v>207</v>
      </c>
      <c r="AF4" t="s">
        <v>208</v>
      </c>
      <c r="AG4" t="s">
        <v>209</v>
      </c>
      <c r="AH4" t="s">
        <v>210</v>
      </c>
      <c r="AI4" t="s">
        <v>211</v>
      </c>
      <c r="AJ4" t="s">
        <v>212</v>
      </c>
      <c r="AK4" t="s">
        <v>213</v>
      </c>
      <c r="AL4" t="s">
        <v>214</v>
      </c>
      <c r="AM4" t="s">
        <v>215</v>
      </c>
      <c r="AN4" t="s">
        <v>216</v>
      </c>
      <c r="AO4" t="s">
        <v>217</v>
      </c>
      <c r="AP4" t="s">
        <v>205</v>
      </c>
      <c r="AQ4" t="s">
        <v>218</v>
      </c>
      <c r="AR4" t="s">
        <v>219</v>
      </c>
      <c r="AS4" t="s">
        <v>220</v>
      </c>
      <c r="AT4" t="s">
        <v>221</v>
      </c>
      <c r="AU4" t="s">
        <v>222</v>
      </c>
      <c r="AV4" t="s">
        <v>223</v>
      </c>
      <c r="AW4" t="s">
        <v>224</v>
      </c>
      <c r="AX4" t="s">
        <v>225</v>
      </c>
      <c r="AY4" t="s">
        <v>226</v>
      </c>
      <c r="AZ4" t="s">
        <v>227</v>
      </c>
      <c r="BA4" t="s">
        <v>228</v>
      </c>
      <c r="BB4" t="s">
        <v>229</v>
      </c>
      <c r="BC4" t="s">
        <v>230</v>
      </c>
      <c r="BD4" t="s">
        <v>231</v>
      </c>
      <c r="BE4" t="s">
        <v>232</v>
      </c>
      <c r="BF4" t="s">
        <v>233</v>
      </c>
      <c r="BG4" t="s">
        <v>234</v>
      </c>
      <c r="BH4" t="s">
        <v>235</v>
      </c>
      <c r="BI4" t="s">
        <v>236</v>
      </c>
      <c r="BJ4" t="s">
        <v>237</v>
      </c>
      <c r="BK4" t="s">
        <v>238</v>
      </c>
      <c r="BL4" t="s">
        <v>239</v>
      </c>
      <c r="BM4" t="s">
        <v>240</v>
      </c>
      <c r="BN4" t="s">
        <v>241</v>
      </c>
      <c r="BO4" t="s">
        <v>242</v>
      </c>
      <c r="BP4" t="s">
        <v>243</v>
      </c>
      <c r="BQ4" t="s">
        <v>244</v>
      </c>
      <c r="BR4" t="s">
        <v>245</v>
      </c>
      <c r="BS4" t="s">
        <v>246</v>
      </c>
      <c r="BT4" t="s">
        <v>247</v>
      </c>
      <c r="BU4" t="s">
        <v>248</v>
      </c>
      <c r="BV4" t="s">
        <v>249</v>
      </c>
      <c r="BW4" t="s">
        <v>250</v>
      </c>
      <c r="BX4" t="s">
        <v>251</v>
      </c>
      <c r="BY4" t="s">
        <v>252</v>
      </c>
      <c r="BZ4" t="s">
        <v>253</v>
      </c>
      <c r="CA4" t="s">
        <v>254</v>
      </c>
      <c r="CB4" t="s">
        <v>255</v>
      </c>
      <c r="CC4" t="s">
        <v>256</v>
      </c>
      <c r="CD4" t="s">
        <v>257</v>
      </c>
      <c r="CE4" t="s">
        <v>258</v>
      </c>
      <c r="CF4" t="s">
        <v>259</v>
      </c>
      <c r="CG4" t="s">
        <v>260</v>
      </c>
      <c r="CH4" t="s">
        <v>261</v>
      </c>
      <c r="CI4" t="s">
        <v>262</v>
      </c>
      <c r="CJ4" t="s">
        <v>263</v>
      </c>
      <c r="CK4" t="s">
        <v>264</v>
      </c>
      <c r="CL4" t="s">
        <v>265</v>
      </c>
      <c r="CM4" t="s">
        <v>266</v>
      </c>
      <c r="CN4" t="s">
        <v>267</v>
      </c>
      <c r="CO4" t="s">
        <v>268</v>
      </c>
      <c r="CP4" t="s">
        <v>269</v>
      </c>
      <c r="CQ4" t="s">
        <v>270</v>
      </c>
      <c r="CR4" t="s">
        <v>271</v>
      </c>
      <c r="CS4" t="s">
        <v>272</v>
      </c>
      <c r="CT4" t="s">
        <v>273</v>
      </c>
      <c r="CU4" t="s">
        <v>274</v>
      </c>
      <c r="CV4" t="s">
        <v>275</v>
      </c>
      <c r="CW4" t="s">
        <v>276</v>
      </c>
      <c r="CX4" t="s">
        <v>277</v>
      </c>
      <c r="CY4" t="s">
        <v>278</v>
      </c>
    </row>
    <row r="5" spans="1:104" ht="15" customHeight="1" x14ac:dyDescent="0.25">
      <c r="A5" t="s">
        <v>279</v>
      </c>
      <c r="D5" t="s">
        <v>280</v>
      </c>
      <c r="F5" t="s">
        <v>281</v>
      </c>
      <c r="G5" t="s">
        <v>282</v>
      </c>
      <c r="H5" t="s">
        <v>283</v>
      </c>
      <c r="K5" t="s">
        <v>284</v>
      </c>
      <c r="L5" t="s">
        <v>285</v>
      </c>
      <c r="N5" t="s">
        <v>286</v>
      </c>
      <c r="P5" t="s">
        <v>287</v>
      </c>
      <c r="R5" t="s">
        <v>288</v>
      </c>
      <c r="T5" t="s">
        <v>289</v>
      </c>
      <c r="U5" t="s">
        <v>290</v>
      </c>
      <c r="V5" t="s">
        <v>291</v>
      </c>
      <c r="W5" t="s">
        <v>292</v>
      </c>
      <c r="Y5" t="s">
        <v>293</v>
      </c>
      <c r="Z5" t="s">
        <v>294</v>
      </c>
      <c r="AB5" t="s">
        <v>295</v>
      </c>
      <c r="AD5" t="s">
        <v>296</v>
      </c>
      <c r="AE5" t="s">
        <v>297</v>
      </c>
      <c r="AF5" t="s">
        <v>298</v>
      </c>
      <c r="AI5" t="s">
        <v>299</v>
      </c>
      <c r="AK5" t="s">
        <v>300</v>
      </c>
      <c r="AL5" t="s">
        <v>301</v>
      </c>
      <c r="AM5" t="s">
        <v>302</v>
      </c>
      <c r="AN5" t="s">
        <v>303</v>
      </c>
      <c r="AO5" t="s">
        <v>304</v>
      </c>
      <c r="AR5" t="s">
        <v>305</v>
      </c>
      <c r="AS5" t="s">
        <v>306</v>
      </c>
      <c r="AT5" t="s">
        <v>307</v>
      </c>
      <c r="AU5" t="s">
        <v>308</v>
      </c>
      <c r="AV5" t="s">
        <v>309</v>
      </c>
      <c r="AW5" t="s">
        <v>310</v>
      </c>
      <c r="AX5" t="s">
        <v>311</v>
      </c>
      <c r="AZ5" t="s">
        <v>312</v>
      </c>
      <c r="BA5" t="s">
        <v>313</v>
      </c>
      <c r="BB5" t="s">
        <v>314</v>
      </c>
      <c r="BC5" t="s">
        <v>315</v>
      </c>
      <c r="BG5" t="s">
        <v>316</v>
      </c>
      <c r="BH5" t="s">
        <v>317</v>
      </c>
      <c r="BJ5" t="s">
        <v>318</v>
      </c>
      <c r="BK5" t="s">
        <v>319</v>
      </c>
      <c r="BM5" t="s">
        <v>320</v>
      </c>
      <c r="BN5" t="s">
        <v>321</v>
      </c>
      <c r="BO5" t="s">
        <v>322</v>
      </c>
      <c r="BP5" t="s">
        <v>323</v>
      </c>
      <c r="BQ5" t="s">
        <v>324</v>
      </c>
      <c r="BS5" t="s">
        <v>325</v>
      </c>
      <c r="BT5" t="s">
        <v>326</v>
      </c>
      <c r="BU5" t="s">
        <v>327</v>
      </c>
      <c r="BV5" t="s">
        <v>328</v>
      </c>
      <c r="BX5" t="s">
        <v>329</v>
      </c>
      <c r="BY5" t="s">
        <v>330</v>
      </c>
      <c r="BZ5" t="s">
        <v>331</v>
      </c>
      <c r="CA5" t="s">
        <v>332</v>
      </c>
      <c r="CB5" t="s">
        <v>333</v>
      </c>
      <c r="CC5" t="s">
        <v>334</v>
      </c>
      <c r="CE5" t="s">
        <v>335</v>
      </c>
      <c r="CF5" t="s">
        <v>336</v>
      </c>
      <c r="CG5" t="s">
        <v>337</v>
      </c>
      <c r="CH5" t="s">
        <v>338</v>
      </c>
      <c r="CI5" t="s">
        <v>339</v>
      </c>
      <c r="CJ5" t="s">
        <v>340</v>
      </c>
      <c r="CK5" t="s">
        <v>341</v>
      </c>
      <c r="CL5" t="s">
        <v>342</v>
      </c>
      <c r="CN5" t="s">
        <v>343</v>
      </c>
      <c r="CQ5" t="s">
        <v>344</v>
      </c>
      <c r="CR5" t="s">
        <v>345</v>
      </c>
      <c r="CS5" t="s">
        <v>346</v>
      </c>
      <c r="CT5" t="s">
        <v>347</v>
      </c>
    </row>
    <row r="6" spans="1:104" ht="15" customHeight="1" x14ac:dyDescent="0.25">
      <c r="A6" t="s">
        <v>348</v>
      </c>
      <c r="D6" t="s">
        <v>349</v>
      </c>
      <c r="F6" t="s">
        <v>350</v>
      </c>
      <c r="G6" t="s">
        <v>351</v>
      </c>
      <c r="H6" t="s">
        <v>352</v>
      </c>
      <c r="K6" t="s">
        <v>353</v>
      </c>
      <c r="L6" t="s">
        <v>354</v>
      </c>
      <c r="N6" t="s">
        <v>355</v>
      </c>
      <c r="P6" t="s">
        <v>356</v>
      </c>
      <c r="T6" t="s">
        <v>357</v>
      </c>
      <c r="V6" t="s">
        <v>358</v>
      </c>
      <c r="W6" t="s">
        <v>359</v>
      </c>
      <c r="Y6" t="s">
        <v>360</v>
      </c>
      <c r="Z6" t="s">
        <v>361</v>
      </c>
      <c r="AB6" t="s">
        <v>362</v>
      </c>
      <c r="AD6" t="s">
        <v>363</v>
      </c>
      <c r="AE6" t="s">
        <v>364</v>
      </c>
      <c r="AI6" t="s">
        <v>365</v>
      </c>
      <c r="AK6" t="s">
        <v>366</v>
      </c>
      <c r="AM6" t="s">
        <v>367</v>
      </c>
      <c r="AN6" t="s">
        <v>368</v>
      </c>
      <c r="AO6" t="s">
        <v>369</v>
      </c>
      <c r="AS6" t="s">
        <v>370</v>
      </c>
      <c r="AT6" t="s">
        <v>371</v>
      </c>
      <c r="AU6" t="s">
        <v>372</v>
      </c>
      <c r="AV6" t="s">
        <v>373</v>
      </c>
      <c r="AW6" t="s">
        <v>374</v>
      </c>
      <c r="AX6" t="s">
        <v>375</v>
      </c>
      <c r="AZ6" t="s">
        <v>376</v>
      </c>
      <c r="BA6" t="s">
        <v>377</v>
      </c>
      <c r="BB6" t="s">
        <v>378</v>
      </c>
      <c r="BC6" t="s">
        <v>379</v>
      </c>
      <c r="BG6" t="s">
        <v>380</v>
      </c>
      <c r="BJ6" t="s">
        <v>381</v>
      </c>
      <c r="BK6" t="s">
        <v>382</v>
      </c>
      <c r="BM6" t="s">
        <v>383</v>
      </c>
      <c r="BN6" t="s">
        <v>384</v>
      </c>
      <c r="BP6" t="s">
        <v>385</v>
      </c>
      <c r="BS6" t="s">
        <v>386</v>
      </c>
      <c r="BU6" t="s">
        <v>387</v>
      </c>
      <c r="BV6" t="s">
        <v>388</v>
      </c>
      <c r="BX6" t="s">
        <v>389</v>
      </c>
      <c r="BY6" t="s">
        <v>390</v>
      </c>
      <c r="BZ6" t="s">
        <v>391</v>
      </c>
      <c r="CA6" t="s">
        <v>392</v>
      </c>
      <c r="CB6" t="s">
        <v>393</v>
      </c>
      <c r="CC6" t="s">
        <v>394</v>
      </c>
      <c r="CF6" t="s">
        <v>395</v>
      </c>
      <c r="CG6" t="s">
        <v>396</v>
      </c>
      <c r="CH6" t="s">
        <v>397</v>
      </c>
      <c r="CI6" t="s">
        <v>398</v>
      </c>
      <c r="CJ6" t="s">
        <v>399</v>
      </c>
      <c r="CK6" t="s">
        <v>400</v>
      </c>
      <c r="CL6" t="s">
        <v>401</v>
      </c>
      <c r="CN6" t="s">
        <v>402</v>
      </c>
    </row>
    <row r="7" spans="1:104" ht="15" customHeight="1" x14ac:dyDescent="0.25">
      <c r="A7" t="s">
        <v>403</v>
      </c>
      <c r="D7" t="s">
        <v>404</v>
      </c>
      <c r="F7" t="s">
        <v>405</v>
      </c>
      <c r="G7" t="s">
        <v>406</v>
      </c>
      <c r="H7" t="s">
        <v>407</v>
      </c>
      <c r="K7" t="s">
        <v>408</v>
      </c>
      <c r="L7" t="s">
        <v>409</v>
      </c>
      <c r="N7" t="s">
        <v>391</v>
      </c>
      <c r="P7" t="s">
        <v>410</v>
      </c>
      <c r="T7" t="s">
        <v>411</v>
      </c>
      <c r="V7" t="s">
        <v>412</v>
      </c>
      <c r="W7" t="s">
        <v>413</v>
      </c>
      <c r="Y7" t="s">
        <v>414</v>
      </c>
      <c r="Z7" t="s">
        <v>415</v>
      </c>
      <c r="AB7" t="s">
        <v>416</v>
      </c>
      <c r="AD7" t="s">
        <v>417</v>
      </c>
      <c r="AE7" t="s">
        <v>418</v>
      </c>
      <c r="AI7" t="s">
        <v>419</v>
      </c>
      <c r="AK7" t="s">
        <v>420</v>
      </c>
      <c r="AM7" t="s">
        <v>421</v>
      </c>
      <c r="AN7" t="s">
        <v>422</v>
      </c>
      <c r="AO7" t="s">
        <v>423</v>
      </c>
      <c r="AS7" t="s">
        <v>424</v>
      </c>
      <c r="AT7" t="s">
        <v>425</v>
      </c>
      <c r="AU7" t="s">
        <v>426</v>
      </c>
      <c r="AV7" t="s">
        <v>427</v>
      </c>
      <c r="AW7" t="s">
        <v>428</v>
      </c>
      <c r="AX7" t="s">
        <v>429</v>
      </c>
      <c r="AZ7" t="s">
        <v>430</v>
      </c>
      <c r="BC7" t="s">
        <v>431</v>
      </c>
      <c r="BG7" t="s">
        <v>432</v>
      </c>
      <c r="BJ7" t="s">
        <v>433</v>
      </c>
      <c r="BK7" t="s">
        <v>434</v>
      </c>
      <c r="BM7" t="s">
        <v>435</v>
      </c>
      <c r="BN7" t="s">
        <v>436</v>
      </c>
      <c r="BS7" t="s">
        <v>437</v>
      </c>
      <c r="BV7" t="s">
        <v>438</v>
      </c>
      <c r="BX7" t="s">
        <v>439</v>
      </c>
      <c r="BY7" t="s">
        <v>440</v>
      </c>
      <c r="BZ7" t="s">
        <v>441</v>
      </c>
      <c r="CA7" t="s">
        <v>442</v>
      </c>
      <c r="CB7" t="s">
        <v>443</v>
      </c>
      <c r="CC7" t="s">
        <v>444</v>
      </c>
      <c r="CF7" t="s">
        <v>445</v>
      </c>
      <c r="CG7" t="s">
        <v>446</v>
      </c>
      <c r="CH7" t="s">
        <v>447</v>
      </c>
      <c r="CI7" t="s">
        <v>448</v>
      </c>
      <c r="CJ7" t="s">
        <v>449</v>
      </c>
      <c r="CK7" t="s">
        <v>450</v>
      </c>
    </row>
    <row r="8" spans="1:104" ht="15" customHeight="1" x14ac:dyDescent="0.25">
      <c r="A8" t="s">
        <v>451</v>
      </c>
      <c r="D8" t="s">
        <v>452</v>
      </c>
      <c r="F8" t="s">
        <v>453</v>
      </c>
      <c r="G8" t="s">
        <v>454</v>
      </c>
      <c r="H8" t="s">
        <v>455</v>
      </c>
      <c r="K8" t="s">
        <v>456</v>
      </c>
      <c r="L8" t="s">
        <v>457</v>
      </c>
      <c r="V8" t="s">
        <v>458</v>
      </c>
      <c r="W8" t="s">
        <v>459</v>
      </c>
      <c r="Y8" t="s">
        <v>460</v>
      </c>
      <c r="AB8" t="s">
        <v>461</v>
      </c>
      <c r="AD8" t="s">
        <v>462</v>
      </c>
      <c r="AE8" t="s">
        <v>463</v>
      </c>
      <c r="AI8" t="s">
        <v>464</v>
      </c>
      <c r="AK8" t="s">
        <v>465</v>
      </c>
      <c r="AM8" t="s">
        <v>466</v>
      </c>
      <c r="AO8" t="s">
        <v>467</v>
      </c>
      <c r="AT8" t="s">
        <v>468</v>
      </c>
      <c r="AU8" t="s">
        <v>469</v>
      </c>
      <c r="AW8" t="s">
        <v>470</v>
      </c>
      <c r="AZ8" t="s">
        <v>471</v>
      </c>
      <c r="BC8" t="s">
        <v>472</v>
      </c>
      <c r="BK8" t="s">
        <v>473</v>
      </c>
      <c r="BM8" t="s">
        <v>474</v>
      </c>
      <c r="BS8" t="s">
        <v>475</v>
      </c>
      <c r="BX8" t="s">
        <v>476</v>
      </c>
      <c r="BY8" t="s">
        <v>477</v>
      </c>
      <c r="BZ8" t="s">
        <v>478</v>
      </c>
      <c r="CA8" t="s">
        <v>479</v>
      </c>
      <c r="CB8" t="s">
        <v>480</v>
      </c>
      <c r="CC8" t="s">
        <v>481</v>
      </c>
      <c r="CF8" t="s">
        <v>482</v>
      </c>
      <c r="CG8" t="s">
        <v>483</v>
      </c>
    </row>
    <row r="9" spans="1:104" ht="15" customHeight="1" x14ac:dyDescent="0.25">
      <c r="G9" t="s">
        <v>484</v>
      </c>
      <c r="L9" t="s">
        <v>485</v>
      </c>
      <c r="AD9" t="s">
        <v>486</v>
      </c>
      <c r="AE9" t="s">
        <v>487</v>
      </c>
      <c r="AK9" t="s">
        <v>488</v>
      </c>
      <c r="AT9" t="s">
        <v>489</v>
      </c>
      <c r="BC9" t="s">
        <v>490</v>
      </c>
      <c r="BK9" t="s">
        <v>491</v>
      </c>
      <c r="BX9" t="s">
        <v>492</v>
      </c>
      <c r="BZ9" t="s">
        <v>493</v>
      </c>
      <c r="CA9" t="s">
        <v>494</v>
      </c>
      <c r="CB9" t="s">
        <v>495</v>
      </c>
      <c r="CC9" t="s">
        <v>496</v>
      </c>
    </row>
    <row r="10" spans="1:104" ht="15" customHeight="1" x14ac:dyDescent="0.25"/>
    <row r="11" spans="1:104" ht="15" customHeight="1" x14ac:dyDescent="0.25"/>
    <row r="12" spans="1:104" ht="15" customHeight="1" x14ac:dyDescent="0.25"/>
    <row r="13" spans="1:104" ht="15" customHeight="1" x14ac:dyDescent="0.25"/>
    <row r="14" spans="1:104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8"/>
  <sheetViews>
    <sheetView zoomScaleNormal="100" workbookViewId="0">
      <selection activeCell="C6" sqref="C6"/>
    </sheetView>
  </sheetViews>
  <sheetFormatPr defaultRowHeight="15" x14ac:dyDescent="0.25"/>
  <cols>
    <col min="1" max="1" width="13.85546875" customWidth="1"/>
    <col min="3" max="3" width="10.42578125" customWidth="1"/>
    <col min="5" max="5" width="12.140625" customWidth="1"/>
    <col min="6" max="6" width="10.5703125" customWidth="1"/>
    <col min="7" max="7" width="20.7109375" customWidth="1"/>
    <col min="8" max="8" width="10.5703125" customWidth="1"/>
    <col min="9" max="9" width="20.7109375" customWidth="1"/>
    <col min="10" max="10" width="18" customWidth="1"/>
    <col min="11" max="11" width="11.42578125" customWidth="1"/>
    <col min="12" max="12" width="20.7109375" customWidth="1"/>
    <col min="13" max="13" width="11" customWidth="1"/>
    <col min="17" max="17" width="12.85546875" customWidth="1"/>
    <col min="18" max="18" width="11.5703125" customWidth="1"/>
    <col min="19" max="19" width="10.140625" customWidth="1"/>
  </cols>
  <sheetData>
    <row r="1" spans="1:12" x14ac:dyDescent="0.25">
      <c r="A1" s="61" t="s">
        <v>497</v>
      </c>
      <c r="B1" s="62"/>
      <c r="C1" s="6">
        <f>COUNTIF(AHL_DAT_STRING!4:18,"&lt;&gt;")</f>
        <v>322</v>
      </c>
    </row>
    <row r="2" spans="1:12" ht="15.75" customHeight="1" x14ac:dyDescent="0.25">
      <c r="A2" s="63" t="s">
        <v>498</v>
      </c>
      <c r="B2" s="64"/>
      <c r="C2" s="7">
        <f>C1*4</f>
        <v>1288</v>
      </c>
    </row>
    <row r="3" spans="1:12" x14ac:dyDescent="0.25">
      <c r="A3" s="8" t="s">
        <v>498</v>
      </c>
      <c r="B3" s="9">
        <f>COUNTIF(AHL!4:50, "&lt;&gt;")</f>
        <v>1284</v>
      </c>
      <c r="E3" s="65" t="s">
        <v>499</v>
      </c>
      <c r="F3" s="64"/>
      <c r="G3" s="64"/>
      <c r="H3" s="64"/>
    </row>
    <row r="4" spans="1:12" ht="15.75" customHeight="1" x14ac:dyDescent="0.25">
      <c r="A4" s="10" t="s">
        <v>500</v>
      </c>
      <c r="B4" s="11">
        <f>SUMIF(AHL!2:2,"sl",AHL!1:1)</f>
        <v>194</v>
      </c>
      <c r="C4">
        <f>AHL!I1</f>
        <v>29</v>
      </c>
      <c r="E4" t="s">
        <v>501</v>
      </c>
      <c r="F4" t="s">
        <v>502</v>
      </c>
      <c r="G4" t="s">
        <v>503</v>
      </c>
      <c r="H4" t="s">
        <v>504</v>
      </c>
      <c r="I4" t="s">
        <v>505</v>
      </c>
      <c r="J4" t="s">
        <v>506</v>
      </c>
      <c r="K4" t="s">
        <v>507</v>
      </c>
      <c r="L4" t="s">
        <v>508</v>
      </c>
    </row>
    <row r="5" spans="1:12" ht="15.75" customHeight="1" x14ac:dyDescent="0.25">
      <c r="A5" s="10" t="s">
        <v>1</v>
      </c>
      <c r="B5" s="11">
        <f>SUMIF(AHL!2:2,"hr",AHL!1:1)</f>
        <v>33</v>
      </c>
      <c r="E5" s="12" t="s">
        <v>500</v>
      </c>
      <c r="F5" s="13">
        <v>2</v>
      </c>
      <c r="G5" s="14">
        <f>F5/13</f>
        <v>0.15384615384615385</v>
      </c>
      <c r="H5" s="15">
        <f>B4/B3</f>
        <v>0.15109034267912771</v>
      </c>
      <c r="I5" s="16">
        <f>C2*G5</f>
        <v>198.15384615384616</v>
      </c>
      <c r="J5">
        <f>B4</f>
        <v>194</v>
      </c>
      <c r="K5" s="17">
        <f>J5-I5</f>
        <v>-4.1538461538461604</v>
      </c>
      <c r="L5" s="18">
        <f>K5/4</f>
        <v>-1.0384615384615401</v>
      </c>
    </row>
    <row r="6" spans="1:12" ht="15.75" customHeight="1" x14ac:dyDescent="0.25">
      <c r="A6" s="10" t="s">
        <v>2</v>
      </c>
      <c r="B6" s="11">
        <f>SUMIF(AHL!2:2,"it",AHL!1:1)</f>
        <v>494</v>
      </c>
      <c r="C6">
        <f>AHL!X1</f>
        <v>17</v>
      </c>
      <c r="E6" s="12" t="s">
        <v>1</v>
      </c>
      <c r="F6" s="13">
        <v>1</v>
      </c>
      <c r="G6" s="14">
        <f>F6/13</f>
        <v>7.6923076923076927E-2</v>
      </c>
      <c r="H6" s="15">
        <f>B5/B3</f>
        <v>2.5700934579439252E-2</v>
      </c>
      <c r="I6" s="16">
        <f>C2*G6</f>
        <v>99.07692307692308</v>
      </c>
      <c r="J6">
        <f>B5</f>
        <v>33</v>
      </c>
      <c r="K6" s="17">
        <f>J6-I6</f>
        <v>-66.07692307692308</v>
      </c>
      <c r="L6" s="18">
        <f t="shared" ref="L6" si="0">K6/4</f>
        <v>-16.51923076923077</v>
      </c>
    </row>
    <row r="7" spans="1:12" ht="15.75" customHeight="1" x14ac:dyDescent="0.25">
      <c r="A7" s="19" t="s">
        <v>3</v>
      </c>
      <c r="B7" s="20">
        <f>SUMIF(AHL!2:2,"au",AHL!1:1)</f>
        <v>563</v>
      </c>
      <c r="C7">
        <f>SUM(AHL!AL1,AHL!AU1,AHL!BA1,AHL!BE1,AHL!BF1,AHL!BG1,AHL!BH1,AHL!BD1)</f>
        <v>163</v>
      </c>
      <c r="E7" s="21" t="s">
        <v>509</v>
      </c>
      <c r="F7" s="22">
        <v>3</v>
      </c>
      <c r="G7" s="23">
        <f t="shared" ref="G7:G9" si="1">F7/13</f>
        <v>0.23076923076923078</v>
      </c>
      <c r="H7" s="24">
        <f>(B5+B4)/B3</f>
        <v>0.17679127725856697</v>
      </c>
      <c r="I7" s="16">
        <f>C2*G7</f>
        <v>297.23076923076923</v>
      </c>
      <c r="J7">
        <f>B4+B5</f>
        <v>227</v>
      </c>
      <c r="K7" s="17">
        <f>J7-I7</f>
        <v>-70.230769230769226</v>
      </c>
      <c r="L7" s="18">
        <f>K7/4</f>
        <v>-17.557692307692307</v>
      </c>
    </row>
    <row r="8" spans="1:12" ht="15.75" customHeight="1" x14ac:dyDescent="0.25">
      <c r="A8" s="25" t="s">
        <v>510</v>
      </c>
      <c r="C8">
        <f>SUM(C4:C7)</f>
        <v>209</v>
      </c>
      <c r="E8" s="26" t="s">
        <v>511</v>
      </c>
      <c r="F8" s="27">
        <v>6</v>
      </c>
      <c r="G8" s="28">
        <f t="shared" si="1"/>
        <v>0.46153846153846156</v>
      </c>
      <c r="H8" s="29">
        <f>B6/B3</f>
        <v>0.38473520249221183</v>
      </c>
      <c r="I8" s="16">
        <f>C2*G8</f>
        <v>594.46153846153845</v>
      </c>
      <c r="J8">
        <f>B6</f>
        <v>494</v>
      </c>
      <c r="K8" s="17">
        <f>J8-I8</f>
        <v>-100.46153846153845</v>
      </c>
      <c r="L8" s="18">
        <f>K8/4</f>
        <v>-25.115384615384613</v>
      </c>
    </row>
    <row r="9" spans="1:12" ht="15.75" customHeight="1" x14ac:dyDescent="0.25">
      <c r="A9" t="s">
        <v>512</v>
      </c>
      <c r="B9">
        <f>SUM(B4:B7)</f>
        <v>1284</v>
      </c>
      <c r="E9" s="26" t="s">
        <v>513</v>
      </c>
      <c r="F9" s="27">
        <v>4</v>
      </c>
      <c r="G9" s="28">
        <f t="shared" si="1"/>
        <v>0.30769230769230771</v>
      </c>
      <c r="H9" s="29">
        <f>B7/B3</f>
        <v>0.4384735202492212</v>
      </c>
      <c r="I9" s="16">
        <f>C2*G9</f>
        <v>396.30769230769232</v>
      </c>
      <c r="J9">
        <f>B7</f>
        <v>563</v>
      </c>
      <c r="K9" s="30">
        <f>J9-I9</f>
        <v>166.69230769230768</v>
      </c>
      <c r="L9" s="18">
        <f>K9/4</f>
        <v>41.67307692307692</v>
      </c>
    </row>
    <row r="11" spans="1:12" x14ac:dyDescent="0.25">
      <c r="H11" s="31" t="s">
        <v>514</v>
      </c>
      <c r="I11" s="32">
        <f>SUM(I7:I9)</f>
        <v>1288</v>
      </c>
      <c r="J11" s="26">
        <f>SUM(J7:J9)</f>
        <v>1284</v>
      </c>
      <c r="K11" s="33">
        <f>SUM(K7:K9)</f>
        <v>-4</v>
      </c>
      <c r="L11" s="34">
        <f>SUM(L7:L9)</f>
        <v>-1</v>
      </c>
    </row>
    <row r="16" spans="1:12" ht="15.75" customHeight="1" x14ac:dyDescent="0.25">
      <c r="E16" t="s">
        <v>515</v>
      </c>
      <c r="F16" t="s">
        <v>502</v>
      </c>
      <c r="G16" t="s">
        <v>516</v>
      </c>
      <c r="H16" t="s">
        <v>504</v>
      </c>
      <c r="I16" s="35" t="s">
        <v>505</v>
      </c>
      <c r="J16" s="35" t="s">
        <v>506</v>
      </c>
      <c r="K16" t="s">
        <v>507</v>
      </c>
      <c r="L16" t="s">
        <v>508</v>
      </c>
    </row>
    <row r="17" spans="5:17" x14ac:dyDescent="0.25">
      <c r="E17" s="36" t="s">
        <v>509</v>
      </c>
      <c r="F17" s="37">
        <v>3</v>
      </c>
      <c r="G17" s="38">
        <f t="shared" ref="G17:G19" si="2">F17/13</f>
        <v>0.23076923076923078</v>
      </c>
      <c r="H17" s="39">
        <f>(B5+B4)/B3</f>
        <v>0.17679127725856697</v>
      </c>
      <c r="I17" s="40">
        <f>B3*G17</f>
        <v>296.30769230769232</v>
      </c>
      <c r="J17" s="41">
        <f>B5+B4</f>
        <v>227</v>
      </c>
      <c r="K17" s="42">
        <f>J17-I17</f>
        <v>-69.307692307692321</v>
      </c>
      <c r="L17" s="18">
        <f>K17/4</f>
        <v>-17.32692307692308</v>
      </c>
    </row>
    <row r="18" spans="5:17" x14ac:dyDescent="0.25">
      <c r="E18" s="43" t="s">
        <v>511</v>
      </c>
      <c r="F18" s="44">
        <v>6</v>
      </c>
      <c r="G18" s="45">
        <f t="shared" si="2"/>
        <v>0.46153846153846156</v>
      </c>
      <c r="H18" s="46">
        <f>B6/B3</f>
        <v>0.38473520249221183</v>
      </c>
      <c r="I18" s="47">
        <f>B3*G18</f>
        <v>592.61538461538464</v>
      </c>
      <c r="J18" s="48">
        <f>B6</f>
        <v>494</v>
      </c>
      <c r="K18" s="49">
        <f>J18-I18</f>
        <v>-98.615384615384642</v>
      </c>
      <c r="L18" s="18">
        <f>K18/4</f>
        <v>-24.65384615384616</v>
      </c>
      <c r="Q18" s="50"/>
    </row>
    <row r="19" spans="5:17" ht="15.75" customHeight="1" x14ac:dyDescent="0.25">
      <c r="E19" s="51" t="s">
        <v>513</v>
      </c>
      <c r="F19" s="52">
        <v>4</v>
      </c>
      <c r="G19" s="53">
        <f t="shared" si="2"/>
        <v>0.30769230769230771</v>
      </c>
      <c r="H19" s="54">
        <f>B7/B3</f>
        <v>0.4384735202492212</v>
      </c>
      <c r="I19" s="55">
        <f>B3*G19</f>
        <v>395.07692307692309</v>
      </c>
      <c r="J19" s="56">
        <f>B7</f>
        <v>563</v>
      </c>
      <c r="K19" s="57">
        <f>J19-I19</f>
        <v>167.92307692307691</v>
      </c>
      <c r="L19" s="18">
        <f>K19/4</f>
        <v>41.980769230769226</v>
      </c>
    </row>
    <row r="21" spans="5:17" ht="46.5" customHeight="1" x14ac:dyDescent="0.7">
      <c r="E21" s="66" t="s">
        <v>517</v>
      </c>
      <c r="F21" s="66"/>
      <c r="G21" s="66"/>
      <c r="H21" s="66"/>
      <c r="I21" s="66"/>
      <c r="J21" s="66"/>
      <c r="K21" s="66"/>
    </row>
    <row r="22" spans="5:17" ht="15.75" customHeight="1" x14ac:dyDescent="0.25">
      <c r="F22" t="s">
        <v>502</v>
      </c>
      <c r="G22" t="s">
        <v>516</v>
      </c>
      <c r="H22" t="s">
        <v>504</v>
      </c>
      <c r="I22" s="35" t="s">
        <v>505</v>
      </c>
      <c r="J22" s="35" t="s">
        <v>506</v>
      </c>
      <c r="K22" t="s">
        <v>507</v>
      </c>
    </row>
    <row r="23" spans="5:17" x14ac:dyDescent="0.25">
      <c r="E23" s="36" t="s">
        <v>509</v>
      </c>
      <c r="F23" s="37">
        <v>3</v>
      </c>
      <c r="G23" s="38">
        <f t="shared" ref="G23:G25" si="3">F23/13</f>
        <v>0.23076923076923078</v>
      </c>
      <c r="H23" s="39">
        <f>(B4+B5-C4)/(B3-C8)</f>
        <v>0.1841860465116279</v>
      </c>
      <c r="I23" s="40">
        <f>(B3-C8) *G23</f>
        <v>248.07692307692309</v>
      </c>
      <c r="J23" s="41">
        <f>B4+B5-C4</f>
        <v>198</v>
      </c>
      <c r="K23" s="42">
        <f>J23-I23</f>
        <v>-50.076923076923094</v>
      </c>
    </row>
    <row r="24" spans="5:17" ht="15.75" customHeight="1" x14ac:dyDescent="0.25">
      <c r="E24" s="43" t="s">
        <v>511</v>
      </c>
      <c r="F24" s="44">
        <v>6</v>
      </c>
      <c r="G24" s="45">
        <f t="shared" si="3"/>
        <v>0.46153846153846156</v>
      </c>
      <c r="H24" s="46">
        <f>(B6-C4)/(B3-C8)</f>
        <v>0.4325581395348837</v>
      </c>
      <c r="I24" s="47">
        <f>(B3-C8)*G24</f>
        <v>496.15384615384619</v>
      </c>
      <c r="J24" s="48">
        <f>B6-C6</f>
        <v>477</v>
      </c>
      <c r="K24" s="49">
        <f>J24-I24</f>
        <v>-19.153846153846189</v>
      </c>
    </row>
    <row r="25" spans="5:17" ht="16.5" customHeight="1" x14ac:dyDescent="0.25">
      <c r="E25" s="51" t="s">
        <v>513</v>
      </c>
      <c r="F25" s="52">
        <v>4</v>
      </c>
      <c r="G25" s="53">
        <f t="shared" si="3"/>
        <v>0.30769230769230771</v>
      </c>
      <c r="H25" s="54">
        <f>(B7-C7)/(B3-C8)</f>
        <v>0.37209302325581395</v>
      </c>
      <c r="I25" s="55">
        <f>(B3-C8)*G25</f>
        <v>330.76923076923077</v>
      </c>
      <c r="J25" s="56">
        <f>B7-C7</f>
        <v>400</v>
      </c>
      <c r="K25" s="57">
        <f>J25-I25</f>
        <v>69.230769230769226</v>
      </c>
    </row>
    <row r="26" spans="5:17" x14ac:dyDescent="0.25">
      <c r="E26" s="5" t="s">
        <v>518</v>
      </c>
      <c r="F26" s="5"/>
      <c r="G26" s="5"/>
      <c r="H26" s="58">
        <f>C8/B9</f>
        <v>0.16277258566978192</v>
      </c>
      <c r="I26" s="5"/>
      <c r="J26" s="59">
        <f>C8</f>
        <v>209</v>
      </c>
      <c r="K26" s="5"/>
    </row>
    <row r="28" spans="5:17" ht="15.75" customHeight="1" x14ac:dyDescent="0.25">
      <c r="H28" t="s">
        <v>514</v>
      </c>
      <c r="J28">
        <f>SUM(J23:J26)</f>
        <v>1284</v>
      </c>
      <c r="K28" s="60">
        <f>SUM(K23:K25)</f>
        <v>0</v>
      </c>
    </row>
  </sheetData>
  <mergeCells count="4">
    <mergeCell ref="A1:B1"/>
    <mergeCell ref="A2:B2"/>
    <mergeCell ref="E3:H3"/>
    <mergeCell ref="E21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AHL</vt:lpstr>
      <vt:lpstr>AHL_DAT</vt:lpstr>
      <vt:lpstr>AHL_DAT_STRING</vt:lpstr>
      <vt:lpstr>Stevilo tekem po drzavah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2025-04-16T07:57:33Z</dcterms:modified>
</cp:coreProperties>
</file>