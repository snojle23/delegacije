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activeTab="3"/>
  </bookViews>
  <sheets>
    <sheet sheetId="1" name="AHL" state="visible" r:id="rId4"/>
    <sheet sheetId="3" name="AHL_DAT" state="visible" r:id="rId5"/>
    <sheet sheetId="4" name="AHL_DAT_STRING" state="visible" r:id="rId6"/>
    <sheet sheetId="5" name="Stevilo tekem po drzavah" state="visible" r:id="rId7"/>
  </sheets>
  <calcPr calcId="171027"/>
</workbook>
</file>

<file path=xl/sharedStrings.xml><?xml version="1.0" encoding="utf-8"?>
<sst xmlns="http://schemas.openxmlformats.org/spreadsheetml/2006/main" count="2383" uniqueCount="395">
  <si>
    <t>sl</t>
  </si>
  <si>
    <t>hr</t>
  </si>
  <si>
    <t>it</t>
  </si>
  <si>
    <t>au</t>
  </si>
  <si>
    <t>SnojTa</t>
  </si>
  <si>
    <t>BajtMi</t>
  </si>
  <si>
    <t>BulovecMi</t>
  </si>
  <si>
    <t>ArlicMa</t>
  </si>
  <si>
    <t>MarkizetiGr</t>
  </si>
  <si>
    <t>LebenJa</t>
  </si>
  <si>
    <t>MiklicGr</t>
  </si>
  <si>
    <t>LesniakBo</t>
  </si>
  <si>
    <t>JeramFi</t>
  </si>
  <si>
    <t>JavornikBl</t>
  </si>
  <si>
    <t>MetzingerFi</t>
  </si>
  <si>
    <t>KnezRo</t>
  </si>
  <si>
    <t>PiragicTr</t>
  </si>
  <si>
    <t>BenvegnuAn</t>
  </si>
  <si>
    <t>SoraperraSi</t>
  </si>
  <si>
    <t>FecchioFe</t>
  </si>
  <si>
    <t>GrisentiLu</t>
  </si>
  <si>
    <t>LazzeriAl</t>
  </si>
  <si>
    <t>BrondiPa</t>
  </si>
  <si>
    <t>FormaioniTh</t>
  </si>
  <si>
    <t>MoschenAn</t>
  </si>
  <si>
    <t>RivisAn</t>
  </si>
  <si>
    <t>VirtaTu</t>
  </si>
  <si>
    <t>FleischmannLu</t>
  </si>
  <si>
    <t>IlmerNo</t>
  </si>
  <si>
    <t>StefenelliFe</t>
  </si>
  <si>
    <t>ScalzeriAl</t>
  </si>
  <si>
    <t>GiacomozziFe</t>
  </si>
  <si>
    <t>AbeltinoSi</t>
  </si>
  <si>
    <t>PirasAn</t>
  </si>
  <si>
    <t>RivisFe</t>
  </si>
  <si>
    <t>CusinFe</t>
  </si>
  <si>
    <t>PinieOm</t>
  </si>
  <si>
    <t>PaceJa</t>
  </si>
  <si>
    <t>LegaSi</t>
  </si>
  <si>
    <t>EggerTh</t>
  </si>
  <si>
    <t>CristeliMa</t>
  </si>
  <si>
    <t>KainbergerJu</t>
  </si>
  <si>
    <t>TelesklavFa</t>
  </si>
  <si>
    <t>WuchererGe</t>
  </si>
  <si>
    <t>Huber rRe</t>
  </si>
  <si>
    <t>SpiegelSe</t>
  </si>
  <si>
    <t>MeixnerSe</t>
  </si>
  <si>
    <t>OrelSt</t>
  </si>
  <si>
    <t>WendnerMa</t>
  </si>
  <si>
    <t>RuetzMa</t>
  </si>
  <si>
    <t>VoicanCh</t>
  </si>
  <si>
    <t>LegatKo</t>
  </si>
  <si>
    <t>PreiserJu</t>
  </si>
  <si>
    <t>RinkerDa</t>
  </si>
  <si>
    <t>WidmannFl</t>
  </si>
  <si>
    <t>StrimitzerDa</t>
  </si>
  <si>
    <t>HolzerTo</t>
  </si>
  <si>
    <t>DivisDo</t>
  </si>
  <si>
    <t>BrockAd</t>
  </si>
  <si>
    <t>SeewaldJe</t>
  </si>
  <si>
    <t>ZacherlPa</t>
  </si>
  <si>
    <t>MoidlMa</t>
  </si>
  <si>
    <t>WeissAl</t>
  </si>
  <si>
    <t>WenuschHe</t>
  </si>
  <si>
    <t>PuffWo</t>
  </si>
  <si>
    <t>MattheyPh</t>
  </si>
  <si>
    <t>JägerRi</t>
  </si>
  <si>
    <t>SternatCh</t>
  </si>
  <si>
    <t>HlavatyAl</t>
  </si>
  <si>
    <t>EislCh</t>
  </si>
  <si>
    <t>MoidlDa</t>
  </si>
  <si>
    <t>LehnerMo</t>
  </si>
  <si>
    <t>UnterwegerDo</t>
  </si>
  <si>
    <t>2024-09-21</t>
  </si>
  <si>
    <t>2024-09-26</t>
  </si>
  <si>
    <t>2024-10-05</t>
  </si>
  <si>
    <t>2024-09-28</t>
  </si>
  <si>
    <t>2024-11-01</t>
  </si>
  <si>
    <t>2024-09-22</t>
  </si>
  <si>
    <t>2024-10-19</t>
  </si>
  <si>
    <t>2024-10-12</t>
  </si>
  <si>
    <t>2024-10-27</t>
  </si>
  <si>
    <t>2024-10-20</t>
  </si>
  <si>
    <t>2024-09-24</t>
  </si>
  <si>
    <t>2024-10-10</t>
  </si>
  <si>
    <t>2024-09-29</t>
  </si>
  <si>
    <t>2024-10-03</t>
  </si>
  <si>
    <t>2024-10-23</t>
  </si>
  <si>
    <t>2024-11-03</t>
  </si>
  <si>
    <t>2024-10-26</t>
  </si>
  <si>
    <t>2024-10-29</t>
  </si>
  <si>
    <t>2024-11-23</t>
  </si>
  <si>
    <t>2024-12-26</t>
  </si>
  <si>
    <t>2024-10-24</t>
  </si>
  <si>
    <t>2024-12-07</t>
  </si>
  <si>
    <t>2024-11-14</t>
  </si>
  <si>
    <t>2024-10-16</t>
  </si>
  <si>
    <t>2024-10-08</t>
  </si>
  <si>
    <t>2024-10-17</t>
  </si>
  <si>
    <t>2024-10-09</t>
  </si>
  <si>
    <t>2024-11-16</t>
  </si>
  <si>
    <t>2024-10-25</t>
  </si>
  <si>
    <t>2024-11-30</t>
  </si>
  <si>
    <t>2024-12-17</t>
  </si>
  <si>
    <t>2024-12-28</t>
  </si>
  <si>
    <t>2024-10-31</t>
  </si>
  <si>
    <t>2024-11-28</t>
  </si>
  <si>
    <t>2024-12-03</t>
  </si>
  <si>
    <t>2024-10-06</t>
  </si>
  <si>
    <t>2024-12-30</t>
  </si>
  <si>
    <t>2024-11-02</t>
  </si>
  <si>
    <t>2024-12-19</t>
  </si>
  <si>
    <t>2024-12-21</t>
  </si>
  <si>
    <t>2024-11-17</t>
  </si>
  <si>
    <t>2024-12-05</t>
  </si>
  <si>
    <t>2024-11-21</t>
  </si>
  <si>
    <t>2024-11-12</t>
  </si>
  <si>
    <t>2024-12-22</t>
  </si>
  <si>
    <t>2024-11-26</t>
  </si>
  <si>
    <t>2025-01-30</t>
  </si>
  <si>
    <t>2025-01-06</t>
  </si>
  <si>
    <t>2025-01-02</t>
  </si>
  <si>
    <t>2025-01-25</t>
  </si>
  <si>
    <t>2024-11-19</t>
  </si>
  <si>
    <t>2025-01-21</t>
  </si>
  <si>
    <t>2025-02-02</t>
  </si>
  <si>
    <t>2025-01-16</t>
  </si>
  <si>
    <t>2024-12-01</t>
  </si>
  <si>
    <t>2025-01-14</t>
  </si>
  <si>
    <t>2025-01-09</t>
  </si>
  <si>
    <t>2024-11-24</t>
  </si>
  <si>
    <t>2025-01-05</t>
  </si>
  <si>
    <t>2025-01-23</t>
  </si>
  <si>
    <t>2025-01-04</t>
  </si>
  <si>
    <t>2025-01-11</t>
  </si>
  <si>
    <t>2024-12-04</t>
  </si>
  <si>
    <t>2025-01-03</t>
  </si>
  <si>
    <t>2025-01-28</t>
  </si>
  <si>
    <t>2025-01-18</t>
  </si>
  <si>
    <t>2025-01-26</t>
  </si>
  <si>
    <t>2025-01-22</t>
  </si>
  <si>
    <t>2025-01-12</t>
  </si>
  <si>
    <t>2025-01-08</t>
  </si>
  <si>
    <t>2024-12-27</t>
  </si>
  <si>
    <t>zbrisano</t>
  </si>
  <si>
    <t>2025-01-29</t>
  </si>
  <si>
    <t>HuberRe</t>
  </si>
  <si>
    <t>Eishalle Sterzing;BenvegnuAn;SoraperraSi;FecchioFe;GrisentiLu</t>
  </si>
  <si>
    <t>Eishalle Cortina;MetzingerFi;StefenelliFe;AbeltinoSi;ScalzeriAl</t>
  </si>
  <si>
    <t>Eisarena Salzburg;KainbergerJu;VoicanCh;LegatKo;PreiserJu</t>
  </si>
  <si>
    <t>Eishalle Jesenice;BajtMi;BulovecMi;ArlicMa;MarkizetiGr</t>
  </si>
  <si>
    <t>Eishalle Celje;MeixnerSe;VoicanCh;LegatKo;PreiserJu</t>
  </si>
  <si>
    <t>Eishalle Sterzing;LazzeriAl;MoschenAn;GrisentiLu;RivisAn</t>
  </si>
  <si>
    <t>Eishalle Ritten;MoschenAn;SoraperraSi;IlmerNo;RivisAn</t>
  </si>
  <si>
    <t>Sportpark Kitzbühel;RuetzMa;SpiegelSe;SeewaldJe;ZacherlPa</t>
  </si>
  <si>
    <t>Eishalle Gröden;RuetzMa;StefenelliFe;AbeltinoSi;RinkerDa</t>
  </si>
  <si>
    <t>Eishalle Dornbirn;HolzerTo;SpiegelSe;JägerRi;SeewaldJe</t>
  </si>
  <si>
    <t>Eishalle Celje;BulovecMi;MeixnerSe;MiklicGr;TelesklavFa</t>
  </si>
  <si>
    <t>KELIT Arena Zell am See;BajtMi;WenuschHe;PreiserJu;RinkerDa</t>
  </si>
  <si>
    <t>Eishalle Gröden;OrelSt;StefenelliFe;ScalzeriAl;WuchererGe</t>
  </si>
  <si>
    <t>Sportpark Kitzbühel;HolzerTo;KainbergerJu;DivisDo;FecchioFe</t>
  </si>
  <si>
    <t>Würtharena Neumarkt;OrelSt;VirtaTu;StrimitzerDa;WuchererGe</t>
  </si>
  <si>
    <t>Eisarena Salzburg;RuetzMa;WidmannFl;RinkerDa;TelesklavFa</t>
  </si>
  <si>
    <t>Eishalle Cortina;BajtMi;BenvegnuAn;CristeliMa;MarkizetiGr</t>
  </si>
  <si>
    <t>Eisarena Salzburg;MeixnerSe;RuetzMa;MattheyPh;StrimitzerDa</t>
  </si>
  <si>
    <t>Eisarena Salzburg;BenvegnuAn;WenuschHe;BrondiPa;LegatKo</t>
  </si>
  <si>
    <t>Eishalle Sterzing;BrockAd;SternatCh;RivisAn;WendnerMa</t>
  </si>
  <si>
    <t>Eishalle Celje;LazzeriAl;LebenJa;FormaioniTh;JeramFi</t>
  </si>
  <si>
    <t>Eishalle Jesenice;HlavatyAl;KainbergerJu;EislCh;PreiserJu</t>
  </si>
  <si>
    <t>Eishalle Ritten;OrelSt;WidmannFl;TelesklavFa;WuchererGe</t>
  </si>
  <si>
    <t>Eishalle Sissek Zibel;BrockAd;WenuschHe;LegatKo;PreiserJu</t>
  </si>
  <si>
    <t>Eishalle Dornbirn;PinieOm;VirtaTu;DivisDo;JägerRi</t>
  </si>
  <si>
    <t>Eishalle Jesenice;LesniakBo;SnojTa;JavornikBl;MiklicGr</t>
  </si>
  <si>
    <t>Eishalle Sterzing;GiacomozziFe;PirasAn;PaceJa;ScalzeriAl</t>
  </si>
  <si>
    <t>Sportpark Kitzbühel;SpiegelSe;VoicanCh;PreiserJu;WeissAl</t>
  </si>
  <si>
    <t>Eishalle Ritten;MetzingerFi;StefenelliFe;CristeliMa;KnezRo</t>
  </si>
  <si>
    <t>Eishalle Jesenice;BrockAd;SnojTa;ArlicMa;TelesklavFa</t>
  </si>
  <si>
    <t>Würtharena Neumarkt;GiacomozziFe;SoraperraSi;AbeltinoSi;CusinFe</t>
  </si>
  <si>
    <t>Eishalle Gröden;EggerTh;StefenelliFe;BrondiPa;GrisentiLu</t>
  </si>
  <si>
    <t>Eishalle Dornbirn;HolzerTo;Huber rRe;DivisDo;RinkerDa</t>
  </si>
  <si>
    <t>Eisarena Salzburg;HolzerTo;RuetzMa;JägerRi;SeewaldJe</t>
  </si>
  <si>
    <t>Sportpark Kitzbühel;KainbergerJu;LegaSi;CristeliMa;ZacherlPa</t>
  </si>
  <si>
    <t>Eishalle Dornbirn;BenvegnuAn;LazzeriAl;DivisDo;JägerRi</t>
  </si>
  <si>
    <t>KELIT Arena Zell am See;HlavatyAl;WenuschHe;EislCh;WuchererGe</t>
  </si>
  <si>
    <t>Kitzbühel Sportpark;BenvegnuAn;LazzeriAl;RinkerDa;SeewaldJe</t>
  </si>
  <si>
    <t>Eishalle Jesenice;BrockAd;MeixnerSe;PreiserJu;ZacherlPa</t>
  </si>
  <si>
    <t>Sportpark Kitzbühel;HlavatyAl;MeixnerSe;EislCh;WeissAl</t>
  </si>
  <si>
    <t>Eishalle Sterzing;MoschenAn;SoraperraSi;CusinFe;FormaioniTh</t>
  </si>
  <si>
    <t>Eishalle Celje;LesniakBo;RivisFe;ArlicMa;RivisAn</t>
  </si>
  <si>
    <t>Eishalle Celje;LehnerMo;MeixnerSe;MattheyPh;WendnerMa</t>
  </si>
  <si>
    <t>Eishalle Jesenice;BajtMi;LehnerMo;MarkizetiGr;MattheyPh</t>
  </si>
  <si>
    <t>Eishalle Sterzing;BrockAd;MoidlDa;FecchioFe;MattheyPh</t>
  </si>
  <si>
    <t>Eishalle Ritten;BenvegnuAn;MoschenAn;BrondiPa;WeissAl</t>
  </si>
  <si>
    <t>Würtharena Neumarkt;LazzeriAl;PinieOm;AbeltinoSi;BrondiPa</t>
  </si>
  <si>
    <t>Eishalle Jesenice;LesniakBo;UnterwegerDo;ArlicMa;JavornikBl</t>
  </si>
  <si>
    <t>Eishalle Celje;BajtMi;OrelSt;EislCh;StrimitzerDa</t>
  </si>
  <si>
    <t>Eishalle Dornbirn;HolzerTo;OrelSt;StrimitzerDa;WuchererGe</t>
  </si>
  <si>
    <t>Sportpark Kitzbühel;HlavatyAl;VoicanCh;EislCh;RinkerDa</t>
  </si>
  <si>
    <t>KELIT Arena Zell am See;HolzerTo;VoicanCh;TelesklavFa;WendnerMa</t>
  </si>
  <si>
    <t>Eishalle Sterzing;BenvegnuAn;SnojTa;ArlicMa;RivisAn</t>
  </si>
  <si>
    <t>Eishalle Sissek Zibel;LesniakBo;OrelSt;ArlicMa;KnezRo</t>
  </si>
  <si>
    <t>Eishalle Jesenice;OrelSt;VoicanCh;PreiserJu;WuchererGe</t>
  </si>
  <si>
    <t>Eishalle Dornbirn;GiacomozziFe;Huber rRe;BrondiPa;DivisDo</t>
  </si>
  <si>
    <t>Eishalle Ritten;BajtMi;MeixnerSe;MarkizetiGr;WendnerMa</t>
  </si>
  <si>
    <t>Eishalle Meran;BulovecMi;SoraperraSi;ArlicMa;CristeliMa</t>
  </si>
  <si>
    <t>Eisarena Salzburg;LehnerMo;WidmannFl;SeewaldJe;ZacherlPa</t>
  </si>
  <si>
    <t>Eishalle Dornbirn;HolzerTo;Huber rRe;JägerRi;StrimitzerDa</t>
  </si>
  <si>
    <t>Eisarena Salzburg;LehnerMo;MoidlDa;MattheyPh;MoidlMa</t>
  </si>
  <si>
    <t>Eishalle Sterzing;LegaSi;MoschenAn;CusinFe;StrimitzerDa</t>
  </si>
  <si>
    <t>Eisarena Salzburg;Huber rRe;RuetzMa;RinkerDa;ZacherlPa</t>
  </si>
  <si>
    <t>Eishalle Sissek Zibel;SnojTa;WidmannFl;JavornikBl;WuchererGe</t>
  </si>
  <si>
    <t>Eishalle Jesenice;MetzingerFi;SnojTa;KnezRo;MarkizetiGr</t>
  </si>
  <si>
    <t>Würtharena Neumarkt;BajtMi;EggerTh;ArlicMa;BrondiPa</t>
  </si>
  <si>
    <t>Würtharena Neumarkt;LebenJa;WidmannFl;JavornikBl;TelesklavFa</t>
  </si>
  <si>
    <t>Eishalle Jesenice;LazzeriAl;LehnerMo;GrisentiLu;MattheyPh</t>
  </si>
  <si>
    <t>Eishalle Dornbirn;SoraperraSi;StefenelliFe;FecchioFe;JägerRi</t>
  </si>
  <si>
    <t>Eishalle Celje;BrockAd;SnojTa;MarkizetiGr;WendnerMa</t>
  </si>
  <si>
    <t>Eishalle Jesenice;BrockAd;WenuschHe;WeissAl;WendnerMa</t>
  </si>
  <si>
    <t>Sportpark Kitzbühel;LazzeriAl;SpiegelSe;BrondiPa;FormaioniTh</t>
  </si>
  <si>
    <t>Eisarena Salzburg;HuberRe;MeixnerSe;StrimitzerDa;TelesklavFa</t>
  </si>
  <si>
    <t>Eishalle Celje;LebenJa;WidmannFl;LegatKo;MiklicGr</t>
  </si>
  <si>
    <t>Eishalle Jesenice;LesniakBo;SnojTa;JeramFi;RinkerDa</t>
  </si>
  <si>
    <t>KELIT Arena Zell am See;HolzerTo;HuberRe;DivisDo;StrimitzerDa</t>
  </si>
  <si>
    <t>KELIT Arena Zell am See;KainbergerJu;VoicanCh;LegatKo;MoidlMa</t>
  </si>
  <si>
    <t>Eishalle Jesenice;MetzingerFi;VoicanCh;KnezRo;WendnerMa</t>
  </si>
  <si>
    <t>KELIT Arena Zell am See;BrockAd;MeixnerSe;RinkerDa;SeewaldJe</t>
  </si>
  <si>
    <t>Eishalle Meran;PiragicTr;PirasAn;CristeliMa;FecchioFe</t>
  </si>
  <si>
    <t>Eishalle Dornbirn;HuberRe;LazzeriAl;DivisDo;IlmerNo</t>
  </si>
  <si>
    <t>Eishalle Sissek Zibel;SnojTa;WidmannFl;ArlicMa;TelesklavFa</t>
  </si>
  <si>
    <t>Eishalle Ritten;EggerTh;HolzerTo;CusinFe;JägerRi</t>
  </si>
  <si>
    <t>Sportpark Kitzbühel;Huber rRe;MoschenAn;IlmerNo;StrimitzerDa</t>
  </si>
  <si>
    <t>Würtharena Neumarkt;StefenelliFe;VirtaTu;BrondiPa;PaceJa</t>
  </si>
  <si>
    <t>Eishalle Celje;MeixnerSe;OrelSt;JeramFi;WendnerMa</t>
  </si>
  <si>
    <t>Eishalle Ritten;SoraperraSi;VirtaTu;CusinFe;PaceJa</t>
  </si>
  <si>
    <t>KELIT Arena Zell am See;BrockAd;OrelSt;WendnerMa;WuchererGe</t>
  </si>
  <si>
    <t>Eishalle Ritten;EggerTh;PinieOm;PaceJa;ScalzeriAl</t>
  </si>
  <si>
    <t>Eisarena Salzburg;MoschenAn;PinieOm;PreiserJu;WendnerMa</t>
  </si>
  <si>
    <t>Eishalle Ritten;RuetzMa;SpiegelSe;EislCh;JägerRi</t>
  </si>
  <si>
    <t>Eisarena Salzburg;MeixnerSe;MoschenAn;IlmerNo;MoidlMa</t>
  </si>
  <si>
    <t>Eishalle Sterzing;GiacomozziFe;RuetzMa;BrondiPa;StrimitzerDa</t>
  </si>
  <si>
    <t>Würtharena Neumarkt;BajtMi;GiacomozziFe;JavornikBl;PaceJa</t>
  </si>
  <si>
    <t>Eishalle Sissek Zibel;LebenJa;OrelSt;MarkizetiGr;TelesklavFa</t>
  </si>
  <si>
    <t>Würtharena Neumarkt;BenvegnuAn;VirtaTu;FecchioFe;PaceJa</t>
  </si>
  <si>
    <t>Eishalle Jesenice;OrelSt;VoicanCh;LegatKo;PreiserJu</t>
  </si>
  <si>
    <t>Eishalle Gröden;BulovecMi;PinieOm;AbeltinoSi;ArlicMa</t>
  </si>
  <si>
    <t>Eishalle Celje;LesniakBo;UnterwegerDo;JeramFi;TelesklavFa</t>
  </si>
  <si>
    <t>Sportpark Kitzbühel;LazzeriAl;OrelSt;EislCh;WuchererGe</t>
  </si>
  <si>
    <t>Eishalle Celje;BulovecMi;HlavatyAl;LegatKo;TelesklavFa</t>
  </si>
  <si>
    <t>Eishalle Dornbirn;HolzerTo;Huber rRe;DivisDo;JägerRi</t>
  </si>
  <si>
    <t>Würtharena Neumarkt;EggerTh;StefenelliFe;FecchioFe;PaceJa</t>
  </si>
  <si>
    <t>Eishalle Sissek Zibel;MoschenAn;SnojTa;BrondiPa;JeramFi</t>
  </si>
  <si>
    <t>KELIT Arena Zell am See;LehnerMo;MoidlDa;SeewaldJe;ZacherlPa</t>
  </si>
  <si>
    <t>Eishalle Gröden;BenvegnuAn;LazzeriAl;FormaioniTh;RivisAn</t>
  </si>
  <si>
    <t>Eishalle Celje;BajtMi;BulovecMi;JavornikBl;MarkizetiGr</t>
  </si>
  <si>
    <t>Würtharena Neumarkt;Huber rRe;LegaSi;CusinFe;RinkerDa</t>
  </si>
  <si>
    <t>Eishalle Sissek Zibel;MeixnerSe;VoicanCh;JeramFi;LegatKo</t>
  </si>
  <si>
    <t>KELIT Arena Zell am See;BrockAd;BulovecMi;EislCh;WuchererGe</t>
  </si>
  <si>
    <t>Würtharena Neumarkt;HolzerTo;SpiegelSe;JägerRi;RivisAn</t>
  </si>
  <si>
    <t>Eishalle Sterzing;PinieOm;StefenelliFe;BrondiPa;GrisentiLu</t>
  </si>
  <si>
    <t>Sportpark Kitzbühel;KainbergerJu;RuetzMa;AbeltinoSi;RinkerDa</t>
  </si>
  <si>
    <t>Eisarena Salzburg;HlavatyAl;VoicanCh;PreiserJu;WeissAl</t>
  </si>
  <si>
    <t>Würtharena Neumarkt;BenvegnuAn;GiacomozziFe;AbeltinoSi;PaceJa</t>
  </si>
  <si>
    <t>Eisarena Salzburg;HolzerTo;SpiegelSe;SeewaldJe;StrimitzerDa</t>
  </si>
  <si>
    <t>KELIT Arena Zell am See;OrelSt;WidmannFl;WendnerMa;WuchererGe</t>
  </si>
  <si>
    <t>Würtharena Neumarkt;PirasAn;RivisFe;BrondiPa;GrisentiLu</t>
  </si>
  <si>
    <t>Eishalle Sissek Zibel;BajtMi;LesniakBo;ArlicMa;MarkizetiGr</t>
  </si>
  <si>
    <t>Eishalle Sissek Zibel;MetzingerFi;WidmannFl;KnezRo;TelesklavFa</t>
  </si>
  <si>
    <t>Eishalle Ritten;PinieOm;PirasAn;CusinFe;FormaioniTh</t>
  </si>
  <si>
    <t>Eishalle Sterzing;PirasAn;SoraperraSi;BrondiPa;CusinFe</t>
  </si>
  <si>
    <t>Eishalle Ritten;BenvegnuAn;MoschenAn;IlmerNo;RivisAn</t>
  </si>
  <si>
    <t>Eishalle Meran;RivisFe;SoraperraSi;FormaioniTh;GrisentiLu</t>
  </si>
  <si>
    <t>Eishalle Dornbirn;HuberRe;MoschenAn;AbeltinoSi;StrimitzerDa</t>
  </si>
  <si>
    <t>Sportpark Kitzbühel;MetzingerFi;PinieOm;GrisentiLu;KnezRo</t>
  </si>
  <si>
    <t>Eisarena Salzburg;OrelSt;VoicanCh;LegatKo;WuchererGe</t>
  </si>
  <si>
    <t>KELIT Arena Zell am See;BajtMi;MoidlDa;MiklicGr;MoidlMa</t>
  </si>
  <si>
    <t>Eishalle Jesenice;BulovecMi;KainbergerJu;SeewaldJe;ZacherlPa</t>
  </si>
  <si>
    <t>Eishalle Sterzing;MoidlDa;SpiegelSe;DivisDo;RinkerDa</t>
  </si>
  <si>
    <t>Eishalle Dornbirn;MoschenAn;RuetzMa;DivisDo;IlmerNo</t>
  </si>
  <si>
    <t>Eishalle Celje;VoicanCh;WidmannFl;PreiserJu;WuchererGe</t>
  </si>
  <si>
    <t>Eishalle Meran;LesniakBo;OrelSt;MarkizetiGr;TelesklavFa</t>
  </si>
  <si>
    <t>Eishalle Sissek Zibel;BulovecMi;SnojTa;JeramFi;MarkizetiGr</t>
  </si>
  <si>
    <t>Würtharena Neumarkt;BulovecMi;LebenJa;GrisentiLu;JeramFi</t>
  </si>
  <si>
    <t>Eishalle Gröden;EggerTh;StefenelliFe;BrondiPa;ScalzeriAl</t>
  </si>
  <si>
    <t>Eishalle Celje;BajtMi;MetzingerFi;KnezRo;MarkizetiGr</t>
  </si>
  <si>
    <t>Eishalle Meran;GiacomozziFe;KainbergerJu;EislCh;FleischmannLu</t>
  </si>
  <si>
    <t>KELIT Arena Zell am See;SnojTa;WenuschHe;PreiserJu;RinkerDa</t>
  </si>
  <si>
    <t>Eishalle Meran;GiacomozziFe;LegaSi;PaceJa;ScalzeriAl</t>
  </si>
  <si>
    <t>Eishalle Meran;LazzeriAl;StefenelliFe;AbeltinoSi;RivisAn</t>
  </si>
  <si>
    <t>Eishalle Cortina;BajtMi;MoschenAn;CristeliMa;MarkizetiGr</t>
  </si>
  <si>
    <t>Eishalle Sterzing;LazzeriAl;VirtaTu;FormaioniTh;RinkerDa</t>
  </si>
  <si>
    <t>Sportpark Kitzbühel;MetzingerFi;WenuschHe;KnezRo;LegatKo</t>
  </si>
  <si>
    <t>Eishalle Meran;EggerTh;RuetzMa;FecchioFe;ScalzeriAl</t>
  </si>
  <si>
    <t>Eishalle Cortina;EggerTh;GiacomozziFe;AbeltinoSi;CristeliMa</t>
  </si>
  <si>
    <t>Eishalle Jesenice;MeixnerSe;MetzingerFi;KnezRo;LegatKo</t>
  </si>
  <si>
    <t>Eishalle Ritten;SoraperraSi;StefenelliFe;FecchioFe;GrisentiLu</t>
  </si>
  <si>
    <t>Eishalle Zell am See;HlavatyAl;LebenJa;PreiserJu;TelesklavFa</t>
  </si>
  <si>
    <t>Eishalle Ritten;EggerTh;VirtaTu;FormaioniTh;ScalzeriAl</t>
  </si>
  <si>
    <t>Eishalle Sissek Zibel;HlavatyAl;MetzingerFi;KnezRo;LegatKo</t>
  </si>
  <si>
    <t>Eishalle Meran;PirasAn;RivisFe;FecchioFe;RivisAn</t>
  </si>
  <si>
    <t>Eishalle Sissek Zibel;LesniakBo;WidmannFl;JavornikBl;WuchererGe</t>
  </si>
  <si>
    <t>KELIT Arena Zell am See;KainbergerJu;OrelSt;DivisDo;WuchererGe</t>
  </si>
  <si>
    <t>KELIT Arena Zell am See;Huber rRe;RuetzMa;EislCh;ZacherlPa</t>
  </si>
  <si>
    <t>Eishalle Dornbirn;RuetzMa;VirtaTu;FleischmannLu;IlmerNo</t>
  </si>
  <si>
    <t>Eishalle Ritten;BenvegnuAn;LazzeriAl;CusinFe;FormaioniTh</t>
  </si>
  <si>
    <t>Eisarena Salzburg;BrockAd;RuetzMa;WeissAl;WendnerMa</t>
  </si>
  <si>
    <t>Sportpark Kitzbühel;BrockAd;HolzerTo;SeewaldJe;WendnerMa</t>
  </si>
  <si>
    <t>Eishalle Gröden;SoraperraSi;VirtaTu;BrondiPa;ScalzeriAl</t>
  </si>
  <si>
    <t>Eishalle Cortina;PinieOm;VirtaTu;FecchioFe;FormaioniTh</t>
  </si>
  <si>
    <t>Eishalle Gröden;LebenJa;LesniakBo;ArlicMa;MarkizetiGr</t>
  </si>
  <si>
    <t>Eishalle Celje;BulovecMi;SnojTa;ArlicMa;JeramFi</t>
  </si>
  <si>
    <t>Eishalle Sterzing;LazzeriAl;PinieOm;IlmerNo;ScalzeriAl</t>
  </si>
  <si>
    <t>KELIT Arena Zell am See;BulovecMi;HlavatyAl;MarkizetiGr;PreiserJu</t>
  </si>
  <si>
    <t>Eishalle Dornbirn;RuetzMa;SpiegelSe;DivisDo;RinkerDa</t>
  </si>
  <si>
    <t>Eishalle Sissek Zibel;LesniakBo;MetzingerFi;JavornikBl;KnezRo</t>
  </si>
  <si>
    <t>Eisarena Salzburg;HolzerTo;Huber rRe;MattheyPh;RinkerDa</t>
  </si>
  <si>
    <t>Würtharena Neumarkt;MoschenAn;StefenelliFe;BrondiPa;GrisentiLu</t>
  </si>
  <si>
    <t>Eishalle Meran;LesniakBo;SnojTa;ArlicMa;StrimitzerDa</t>
  </si>
  <si>
    <t>Eishalle Sissek Zibel;BajtMi;RivisFe;JavornikBl;RivisAn</t>
  </si>
  <si>
    <t>Eishalle Dornbirn;HolzerTo;KainbergerJu;DivisDo;SeewaldJe</t>
  </si>
  <si>
    <t>Eishalle Sterzing;Huber rRe;RivisFe;FecchioFe;RivisAn</t>
  </si>
  <si>
    <t>Eishalle Ritten;MoschenAn;SpiegelSe;FecchioFe;JägerRi</t>
  </si>
  <si>
    <t>Eishalle Meran;MetzingerFi;PirasAn;FecchioFe;KnezRo</t>
  </si>
  <si>
    <t>Eishalle Ritten;EggerTh;LazzeriAl;GrisentiLu;ScalzeriAl</t>
  </si>
  <si>
    <t>Eishalle Gröden;LehnerMo;MoidlDa;BrondiPa;MoidlMa</t>
  </si>
  <si>
    <t>Eishalle Sterzing;EggerTh;GiacomozziFe;AbeltinoSi;PaceJa</t>
  </si>
  <si>
    <t>Eishalle Dornbirn;RuetzMa;SpiegelSe;DivisDo;JägerRi</t>
  </si>
  <si>
    <t>Eishalle Cortina;LegaSi;PinieOm;CristeliMa;CusinFe</t>
  </si>
  <si>
    <t>Eishalle Zell am See;HlavatyAl;UnterwegerDo;LegatKo;SeewaldJe</t>
  </si>
  <si>
    <t>Eishalle Cortina;RivisFe;SoraperraSi;GrisentiLu;ScalzeriAl</t>
  </si>
  <si>
    <t>Eishalle Cortina;GiacomozziFe;PirasAn;CristeliMa;FleischmannLu</t>
  </si>
  <si>
    <t>Eishalle Sissek Zibel;BrockAd;LebenJa;JeramFi;KnezRo</t>
  </si>
  <si>
    <t>Sportpark Kitzbühel;RuetzMa;SpiegelSe;JägerRi;StrimitzerDa</t>
  </si>
  <si>
    <t>Sportpark Kitzbühel;LazzeriAl;WidmannFl;SeewaldJe;WuchererGe</t>
  </si>
  <si>
    <t>Eishalle Gröden;RivisFe;SoraperraSi;AbeltinoSi;PaceJa</t>
  </si>
  <si>
    <t>Eishalle Meran;LebenJa;LesniakBo;FecchioFe;JeramFi</t>
  </si>
  <si>
    <t>Eishalle Gröden;HolzerTo;LegaSi;CusinFe;DivisDo</t>
  </si>
  <si>
    <t>Eishalle Sterzing;LegaSi;MoschenAn;CusinFe;RivisAn</t>
  </si>
  <si>
    <t>Eishalle Gröden;BulovecMi;VirtaTu;JeramFi;PaceJa</t>
  </si>
  <si>
    <t>Eishalle Sterzing;MoschenAn;PirasAn;AbeltinoSi;FormaioniTh</t>
  </si>
  <si>
    <t>Eishalle Meran;MoschenAn;SnojTa;MarkizetiGr;RivisAn</t>
  </si>
  <si>
    <t>Eishalle Gröden;HolzerTo;PinieOm;DivisDo;FecchioFe</t>
  </si>
  <si>
    <t>Eishalle Ritten;BenvegnuAn;GiacomozziFe;AbeltinoSi;FecchioFe</t>
  </si>
  <si>
    <t>Eishalle Meran;StefenelliFe;VirtaTu;GrisentiLu;StrimitzerDa</t>
  </si>
  <si>
    <t>Eishalle Cortina;BulovecMi;RivisFe;ArlicMa;IlmerNo</t>
  </si>
  <si>
    <t>Eishalle Meran;LazzeriAl;SnojTa;JeramFi;WuchererGe</t>
  </si>
  <si>
    <t>Eishalle Dornbirn;GiacomozziFe;RivisFe;AbeltinoSi;DivisDo</t>
  </si>
  <si>
    <t>Würtharena Neumarkt;RivisFe;SoraperraSi;AbeltinoSi;CristeliMa</t>
  </si>
  <si>
    <t>Eishalle Gröden;EggerTh;LazzeriAl;CusinFe;FormaioniTh</t>
  </si>
  <si>
    <t>Eishalle Cortina;LebenJa;PirasAn;AbeltinoSi;CristeliMa</t>
  </si>
  <si>
    <t>Eishalle Jesenice;VirtaTu;WidmannFl;PaceJa;TelesklavFa</t>
  </si>
  <si>
    <t>Eisarena Salzburg;LehnerMo;OrelSt;EislCh;StrimitzerDa</t>
  </si>
  <si>
    <t>KELIT Arena Zell am See;LehnerMo;MoidlDa;MattheyPh;MoidlMa</t>
  </si>
  <si>
    <t>Eishalle Cortina;GiacomozziFe;SoraperraSi;BrondiPa;FormaioniTh</t>
  </si>
  <si>
    <t>Eishalle Meran;StefenelliFe;VirtaTu;CristeliMa;PaceJa</t>
  </si>
  <si>
    <t>Eishalle Cortina;LegaSi;VirtaTu;CristeliMa;RivisAn</t>
  </si>
  <si>
    <t>Eishalle Cortina;LebenJa;PirasAn;GrisentiLu;JavornikBl</t>
  </si>
  <si>
    <t>KELIT Arena Zell am See;BajtMi;HolzerTo;JavornikBl;StrimitzerDa</t>
  </si>
  <si>
    <t>Eishalle Gröden;PirasAn;VirtaTu;FecchioFe;GrisentiLu</t>
  </si>
  <si>
    <t>Eishalle Meran;BenvegnuAn;RuetzMa;CusinFe;RivisAn</t>
  </si>
  <si>
    <t>Würtharena Neumarkt;RivisFe;SpiegelSe;BrondiPa;DivisDo</t>
  </si>
  <si>
    <t>Eishalle Celje;HlavatyAl;KainbergerJu;PreiserJu;ScalzeriAl</t>
  </si>
  <si>
    <t>Eishalle Cortina;LazzeriAl;OrelSt;CristeliMa;TelesklavFa</t>
  </si>
  <si>
    <t>Eishalle Cortina;Huber rRe;VirtaTu;FormaioniTh;ScalzeriAl</t>
  </si>
  <si>
    <t>Eishalle Cortina;BenvegnuAn;PinieOm;CristeliMa;RivisAn</t>
  </si>
  <si>
    <t>Eishalle Meran;GiacomozziFe;RivisFe;FleischmannLu;RivisAn</t>
  </si>
  <si>
    <t>Eishalle Celje;LebenJa;OrelSt;MarkizetiGr;PuffWo</t>
  </si>
  <si>
    <t>Würtharena Neumarkt;LegaSi;RuetzMa;BrondiPa;GrisentiLu</t>
  </si>
  <si>
    <t>Eishalle Dornbirn;HolzerTo;SpiegelSe;MattheyPh;MoidlMa</t>
  </si>
  <si>
    <t>Eishalle Celje;HlavatyAl;WidmannFl;ArlicMa;WuchererGe</t>
  </si>
  <si>
    <t>Eishalle Gröden;PirasAn;SoraperraSi;FormaioniTh;ScalzeriAl</t>
  </si>
  <si>
    <t>Eishalle Gröden;MoschenAn;VirtaTu;FleischmannLu;FormaioniTh</t>
  </si>
  <si>
    <t>Eishalle Cortina;LebenJa;MoschenAn;CristeliMa;JeramFi</t>
  </si>
  <si>
    <t>Sportpark Kitzbühel;KainbergerJu;VoicanCh;PreiserJu;SeewaldJe</t>
  </si>
  <si>
    <t>vse delegirane tekme</t>
  </si>
  <si>
    <t>vse delegacije</t>
  </si>
  <si>
    <t>Procenti delegacij</t>
  </si>
  <si>
    <t>slo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</si>
  <si>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</si>
  <si>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</si>
  <si>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</si>
  <si>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</si>
  <si>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</si>
  <si>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</si>
  <si>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</si>
  <si>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</si>
  <si>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Slo</t>
  </si>
  <si>
    <t>trainees</t>
  </si>
  <si>
    <t>It</t>
  </si>
  <si>
    <t>kotrola</t>
  </si>
  <si>
    <t>Aut</t>
  </si>
  <si>
    <t>kontrola</t>
  </si>
  <si>
    <t>till 30.1.2025</t>
  </si>
  <si>
    <t>% games per team</t>
  </si>
  <si>
    <t>odštete delegacije traineesov</t>
  </si>
  <si>
    <t>trainnees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</si>
</sst>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harset val="238"/>
      <color rgb="FF9C0006"/>
      <family val="2"/>
      <scheme val="minor"/>
      <sz val="11"/>
      <name val="Calibri"/>
    </font>
    <font>
      <charset val="238"/>
      <color rgb="FF0061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36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7" borderId="10" xfId="0" applyFill="1" applyBorder="1"/>
    <xf numFmtId="0" fontId="0" fillId="7" borderId="10" xfId="0" applyFill="1" applyBorder="1" applyAlignment="1">
      <alignment horizontal="center"/>
    </xf>
    <xf numFmtId="10" fontId="0" fillId="7" borderId="11" xfId="0" applyNumberFormat="1" applyFill="1" applyBorder="1" applyAlignment="1">
      <alignment horizontal="center"/>
    </xf>
    <xf numFmtId="10" fontId="0" fillId="7" borderId="1" xfId="0" applyNumberFormat="1" applyFill="1" applyBorder="1"/>
    <xf numFmtId="1" fontId="0" fillId="8" borderId="10" xfId="0" applyNumberFormat="1" applyFill="1" applyBorder="1"/>
    <xf numFmtId="1" fontId="2" fillId="9" borderId="10" xfId="0" applyNumberFormat="1" applyFont="1" applyFill="1" applyBorder="1"/>
    <xf numFmtId="2" fontId="0" fillId="0" borderId="0" xfId="0" applyNumberFormat="1"/>
    <xf numFmtId="0" fontId="0" fillId="0" borderId="12" xfId="0" applyBorder="1"/>
    <xf numFmtId="0" fontId="0" fillId="0" borderId="13" xfId="0" applyBorder="1"/>
    <xf numFmtId="0" fontId="0" fillId="10" borderId="10" xfId="0" applyFill="1" applyBorder="1"/>
    <xf numFmtId="0" fontId="0" fillId="10" borderId="10" xfId="0" applyFill="1" applyBorder="1" applyAlignment="1">
      <alignment horizontal="center"/>
    </xf>
    <xf numFmtId="10" fontId="0" fillId="10" borderId="11" xfId="0" applyNumberFormat="1" applyFill="1" applyBorder="1" applyAlignment="1">
      <alignment horizontal="center"/>
    </xf>
    <xf numFmtId="10" fontId="0" fillId="10" borderId="14" xfId="0" applyNumberFormat="1" applyFill="1" applyBorder="1"/>
    <xf numFmtId="0" fontId="0" fillId="0" borderId="15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6" xfId="0" applyNumberFormat="1" applyBorder="1"/>
    <xf numFmtId="1" fontId="3" fillId="11" borderId="10" xfId="0" applyNumberFormat="1" applyFont="1" applyFill="1" applyBorder="1"/>
    <xf numFmtId="0" fontId="0" fillId="0" borderId="11" xfId="0" applyBorder="1" applyAlignment="1">
      <alignment horizontal="right"/>
    </xf>
    <xf numFmtId="2" fontId="0" fillId="0" borderId="17" xfId="0" applyNumberFormat="1" applyBorder="1"/>
    <xf numFmtId="1" fontId="0" fillId="0" borderId="17" xfId="0" applyNumberFormat="1" applyBorder="1"/>
    <xf numFmtId="2" fontId="0" fillId="0" borderId="10" xfId="0" applyNumberFormat="1" applyBorder="1"/>
    <xf numFmtId="0" fontId="4" fillId="0" borderId="0" xfId="0" applyFont="1"/>
    <xf numFmtId="0" fontId="0" fillId="10" borderId="6" xfId="0" applyFill="1" applyBorder="1"/>
    <xf numFmtId="0" fontId="0" fillId="10" borderId="18" xfId="0" applyFill="1" applyBorder="1" applyAlignment="1">
      <alignment horizontal="center"/>
    </xf>
    <xf numFmtId="10" fontId="0" fillId="10" borderId="18" xfId="0" applyNumberFormat="1" applyFill="1" applyBorder="1" applyAlignment="1">
      <alignment horizontal="center"/>
    </xf>
    <xf numFmtId="10" fontId="0" fillId="10" borderId="18" xfId="0" applyNumberFormat="1" applyFill="1" applyBorder="1"/>
    <xf numFmtId="1" fontId="4" fillId="10" borderId="18" xfId="0" applyNumberFormat="1" applyFont="1" applyFill="1" applyBorder="1" applyAlignment="1">
      <alignment horizontal="center"/>
    </xf>
    <xf numFmtId="0" fontId="4" fillId="10" borderId="18" xfId="0" applyFont="1" applyFill="1" applyBorder="1" applyAlignment="1">
      <alignment horizontal="center"/>
    </xf>
    <xf numFmtId="1" fontId="2" fillId="9" borderId="7" xfId="0" applyNumberFormat="1" applyFont="1" applyFill="1" applyBorder="1" applyAlignment="1">
      <alignment horizontal="center"/>
    </xf>
    <xf numFmtId="0" fontId="0" fillId="4" borderId="8" xfId="0" applyFill="1" applyBorder="1"/>
    <xf numFmtId="0" fontId="0" fillId="4" borderId="10" xfId="0" applyFill="1" applyBorder="1" applyAlignment="1">
      <alignment horizontal="center"/>
    </xf>
    <xf numFmtId="10" fontId="0" fillId="4" borderId="10" xfId="0" applyNumberFormat="1" applyFill="1" applyBorder="1" applyAlignment="1">
      <alignment horizontal="center"/>
    </xf>
    <xf numFmtId="10" fontId="0" fillId="4" borderId="10" xfId="0" applyNumberFormat="1" applyFill="1" applyBorder="1"/>
    <xf numFmtId="1" fontId="4" fillId="4" borderId="10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1" fontId="2" fillId="9" borderId="9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12" borderId="12" xfId="0" applyFill="1" applyBorder="1"/>
    <xf numFmtId="0" fontId="0" fillId="12" borderId="19" xfId="0" applyFill="1" applyBorder="1" applyAlignment="1">
      <alignment horizontal="center"/>
    </xf>
    <xf numFmtId="10" fontId="0" fillId="12" borderId="19" xfId="0" applyNumberFormat="1" applyFill="1" applyBorder="1" applyAlignment="1">
      <alignment horizontal="center"/>
    </xf>
    <xf numFmtId="10" fontId="0" fillId="12" borderId="19" xfId="0" applyNumberFormat="1" applyFill="1" applyBorder="1"/>
    <xf numFmtId="1" fontId="4" fillId="12" borderId="19" xfId="0" applyNumberFormat="1" applyFont="1" applyFill="1" applyBorder="1" applyAlignment="1">
      <alignment horizontal="center"/>
    </xf>
    <xf numFmtId="0" fontId="4" fillId="12" borderId="19" xfId="0" applyFont="1" applyFill="1" applyBorder="1" applyAlignment="1">
      <alignment horizontal="center"/>
    </xf>
    <xf numFmtId="1" fontId="3" fillId="11" borderId="1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9" fontId="0" fillId="6" borderId="0" xfId="0" applyNumberFormat="1" applyFill="1"/>
    <xf numFmtId="0" fontId="4" fillId="6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73"/>
  <sheetViews>
    <sheetView workbookViewId="0" zoomScale="100" zoomScaleNormal="100">
      <selection activeCell="AH15" sqref="AH15"/>
    </sheetView>
  </sheetViews>
  <sheetFormatPr defaultRowHeight="14.45" outlineLevelRow="0" outlineLevelCol="0" x14ac:dyDescent="0.25" customHeight="1"/>
  <cols>
    <col min="1" max="1" width="14.42578125" customWidth="1"/>
    <col min="2" max="2" width="12.85546875" customWidth="1"/>
    <col min="3" max="3" width="13.28515625" customWidth="1"/>
    <col min="4" max="4" width="11" customWidth="1"/>
    <col min="5" max="5" width="11.140625" customWidth="1"/>
    <col min="6" max="6" width="11" customWidth="1"/>
    <col min="7" max="7" width="11.7109375" customWidth="1"/>
    <col min="8" max="8" width="10.5703125" customWidth="1"/>
    <col min="9" max="9" width="12.140625" customWidth="1"/>
    <col min="10" max="10" width="13.42578125" customWidth="1"/>
    <col min="11" max="11" width="10.28515625" customWidth="1"/>
    <col min="12" max="12" width="13.5703125" customWidth="1"/>
    <col min="13" max="13" width="10.140625" customWidth="1"/>
    <col min="14" max="14" width="13" customWidth="1"/>
    <col min="15" max="15" width="12.5703125" customWidth="1"/>
    <col min="16" max="16" width="11.140625" customWidth="1"/>
    <col min="17" max="17" width="13.28515625" customWidth="1"/>
    <col min="18" max="18" width="10.7109375" customWidth="1"/>
    <col min="19" max="19" width="14.140625" customWidth="1"/>
    <col min="20" max="20" width="16.85546875" customWidth="1"/>
    <col min="21" max="21" width="11.7109375" customWidth="1"/>
    <col min="22" max="22" width="10.7109375" customWidth="1"/>
    <col min="23" max="23" width="11.85546875" customWidth="1"/>
    <col min="24" max="24" width="17.28515625" customWidth="1"/>
    <col min="25" max="25" width="11.7109375" customWidth="1"/>
    <col min="26" max="26" width="10.28515625" customWidth="1"/>
    <col min="27" max="27" width="14.5703125" customWidth="1"/>
    <col min="28" max="28" width="10.42578125" customWidth="1"/>
    <col min="29" max="29" width="11.28515625" customWidth="1"/>
    <col min="30" max="30" width="15.140625" customWidth="1"/>
    <col min="31" max="31" width="11.42578125" customWidth="1"/>
    <col min="32" max="32" width="13.28515625" customWidth="1"/>
    <col min="33" max="33" width="10.5703125" customWidth="1"/>
    <col min="35" max="35" width="12.5703125" customWidth="1"/>
    <col min="36" max="36" width="14.5703125" customWidth="1"/>
    <col min="37" max="37" width="11.85546875" customWidth="1"/>
    <col min="38" max="38" width="10.85546875" customWidth="1"/>
    <col min="39" max="39" width="10.42578125" customWidth="1"/>
    <col min="40" max="40" width="13.42578125" customWidth="1"/>
    <col min="41" max="41" width="10.28515625" customWidth="1"/>
    <col min="42" max="42" width="12.42578125" customWidth="1"/>
    <col min="43" max="43" width="11.28515625" customWidth="1"/>
    <col min="44" max="44" width="12.5703125" customWidth="1"/>
    <col min="45" max="45" width="11.42578125" customWidth="1"/>
    <col min="46" max="46" width="11.7109375" customWidth="1"/>
    <col min="47" max="47" width="14.42578125" customWidth="1"/>
    <col min="48" max="48" width="12.5703125" customWidth="1"/>
    <col min="49" max="49" width="11.85546875" customWidth="1"/>
    <col min="50" max="50" width="11.42578125" customWidth="1"/>
    <col min="51" max="51" width="11.28515625" customWidth="1"/>
    <col min="52" max="52" width="11.140625" customWidth="1"/>
    <col min="53" max="53" width="11" customWidth="1"/>
    <col min="54" max="54" width="13.28515625" customWidth="1"/>
    <col min="55" max="55" width="18.140625" customWidth="1"/>
    <col min="56" max="56" width="10.7109375" customWidth="1"/>
    <col min="57" max="57" width="10.140625" customWidth="1"/>
    <col min="58" max="58" width="11.7109375" customWidth="1"/>
    <col min="59" max="59" width="14.28515625" customWidth="1"/>
    <col min="60" max="60" width="11.7109375" customWidth="1"/>
    <col min="61" max="61" width="11.42578125" customWidth="1"/>
    <col min="62" max="62" width="11" customWidth="1"/>
    <col min="63" max="63" width="11.85546875" customWidth="1"/>
    <col min="64" max="64" width="15.5703125" customWidth="1"/>
    <col min="65" max="65" width="12" customWidth="1"/>
    <col min="66" max="66" width="11.85546875" customWidth="1"/>
    <col min="67" max="67" width="11.28515625" customWidth="1"/>
    <col min="68" max="68" width="10.5703125" customWidth="1"/>
    <col min="69" max="69" width="11.140625" customWidth="1"/>
    <col min="73" max="73" width="13.5703125" customWidth="1"/>
  </cols>
  <sheetData>
    <row r="1" ht="14.45" customHeight="1" spans="1:69" x14ac:dyDescent="0.25">
      <c r="A1">
        <f>COUNTIF(A4:A69,"&lt;&gt;")</f>
        <v>15</v>
      </c>
      <c r="B1">
        <f>COUNTIF(B4:B67,"&lt;&gt;")</f>
        <v>15</v>
      </c>
      <c r="C1">
        <f>COUNTIF(C4:C68,"&lt;&gt;")</f>
        <v>14</v>
      </c>
      <c r="D1">
        <f>COUNTIF(D4:D67,"&lt;&gt;")</f>
        <v>16</v>
      </c>
      <c r="E1">
        <f>COUNTIF(E4:E67,"&lt;&gt;")</f>
        <v>17</v>
      </c>
      <c r="F1">
        <f>COUNTIF(F4:F67,"&lt;&gt;")</f>
        <v>13</v>
      </c>
      <c r="G1">
        <f>COUNTIF(G4:G68,"&lt;&gt;")</f>
        <v>4</v>
      </c>
      <c r="H1">
        <f>COUNTIF(H4:H68,"&lt;&gt;")</f>
        <v>13</v>
      </c>
      <c r="I1">
        <f>COUNTIF(I4:I69,"&lt;&gt;")</f>
        <v>14</v>
      </c>
      <c r="J1">
        <f>COUNTIF(J4:J66,"&lt;&gt;")</f>
        <v>11</v>
      </c>
      <c r="K1">
        <f>COUNTIF(K4:K70,"&lt;&gt;")</f>
        <v>13</v>
      </c>
      <c r="L1">
        <f>COUNTIF(L4:L69,"&lt;&gt;")</f>
        <v>14</v>
      </c>
      <c r="M1">
        <f>COUNTIF(M4:M70,"&lt;&gt;")</f>
        <v>1</v>
      </c>
      <c r="N1">
        <f>COUNTIF(N4:N66,"&lt;&gt;")</f>
        <v>15</v>
      </c>
      <c r="O1">
        <f>COUNTIF(O4:O67,"&lt;&gt;")</f>
        <v>16</v>
      </c>
      <c r="P1">
        <f t="shared" ref="P1:BA1" si="0">COUNTIF(P4:P70,"&lt;&gt;")</f>
        <v>18</v>
      </c>
      <c r="Q1">
        <f>COUNTIF(Q4:Q67,"&lt;&gt;")</f>
        <v>17</v>
      </c>
      <c r="R1">
        <f>COUNTIF(R4:R64,"&lt;&gt;")</f>
        <v>19</v>
      </c>
      <c r="S1">
        <f>COUNTIF(S4:S69,"&lt;&gt;")</f>
        <v>20</v>
      </c>
      <c r="T1">
        <f>COUNTIF(T4:T68,"&lt;&gt;")</f>
        <v>16</v>
      </c>
      <c r="U1">
        <f>COUNTIF(U4:U69,"&lt;&gt;")</f>
        <v>20</v>
      </c>
      <c r="V1">
        <f>COUNTIF(V4:V67,"&lt;&gt;")</f>
        <v>18</v>
      </c>
      <c r="W1">
        <f>COUNTIF(W4:W69,"&lt;&gt;")</f>
        <v>18</v>
      </c>
      <c r="X1">
        <f>COUNTIF(X4:X68,"&lt;&gt;")</f>
        <v>5</v>
      </c>
      <c r="Y1">
        <f>COUNTIF(Y4:Y68,"&lt;&gt;")</f>
        <v>9</v>
      </c>
      <c r="Z1">
        <f t="shared" si="0"/>
        <v>16</v>
      </c>
      <c r="AA1">
        <f>COUNTIF(AA4:AA65,"&lt;&gt;")</f>
        <v>15</v>
      </c>
      <c r="AB1">
        <f>COUNTIF(AB4:AB67,"&lt;&gt;")</f>
        <v>15</v>
      </c>
      <c r="AC1">
        <f>COUNTIF(AC4:AC68,"&lt;&gt;")</f>
        <v>17</v>
      </c>
      <c r="AD1">
        <f>COUNTIF(AD4:AD67,"&lt;&gt;")</f>
        <v>13</v>
      </c>
      <c r="AE1">
        <f>COUNTIF(AE4:AE67,"&lt;&gt;")</f>
        <v>13</v>
      </c>
      <c r="AF1">
        <f>COUNTIF(AF4:AF63,"&lt;&gt;")</f>
        <v>14</v>
      </c>
      <c r="AG1">
        <f>COUNTIF(AG4:AG66,"&lt;&gt;")</f>
        <v>13</v>
      </c>
      <c r="AH1">
        <f>COUNTIF(AH4:AH66,"&lt;&gt;")</f>
        <v>14</v>
      </c>
      <c r="AI1">
        <f>COUNTIF(AI4:AI66,"&lt;&gt;")</f>
        <v>9</v>
      </c>
      <c r="AJ1">
        <f>COUNTIF(AJ4:AJ62,"&lt;&gt;")</f>
        <v>12</v>
      </c>
      <c r="AK1">
        <f>COUNTIF(AK4:AK65,"&lt;&gt;")</f>
        <v>17</v>
      </c>
      <c r="AL1">
        <f>COUNTIF(AL4:AL65,"&lt;&gt;")</f>
        <v>12</v>
      </c>
      <c r="AM1">
        <f>COUNTIF(AM4:AM64,"&lt;&gt;")</f>
        <v>16</v>
      </c>
      <c r="AN1">
        <f>COUNTIF(AN4:AN64,"&lt;&gt;")</f>
        <v>18</v>
      </c>
      <c r="AO1">
        <f>COUNTIF(AO4:AO64,"&lt;&gt;")</f>
        <v>16</v>
      </c>
      <c r="AP1">
        <f>COUNTIF(AP4:AP66,"&lt;&gt;")</f>
        <v>14</v>
      </c>
      <c r="AQ1">
        <f>COUNTIF(AQ4:AQ68,"&lt;&gt;")</f>
        <v>13</v>
      </c>
      <c r="AR1">
        <f>COUNTIF(AR4:AR61,"&lt;&gt;")</f>
        <v>19</v>
      </c>
      <c r="AS1">
        <f>COUNTIF(AS4:AS68,"&lt;&gt;")</f>
        <v>13</v>
      </c>
      <c r="AT1">
        <f>COUNTIF(AT4:AT67,"&lt;&gt;")</f>
        <v>19</v>
      </c>
      <c r="AU1">
        <f>COUNTIF(AU4:AU69,"&lt;&gt;")</f>
        <v>14</v>
      </c>
      <c r="AV1">
        <f>COUNTIF(AV4:AV65,"&lt;&gt;")</f>
        <v>14</v>
      </c>
      <c r="AW1">
        <f>COUNTIF(AW4:AW65,"&lt;&gt;")</f>
        <v>17</v>
      </c>
      <c r="AX1">
        <f>COUNTIF(AX4:AX67,"&lt;&gt;")</f>
        <v>16</v>
      </c>
      <c r="AY1">
        <f>COUNTIF(AY4:AY61,"&lt;&gt;")</f>
        <v>14</v>
      </c>
      <c r="AZ1">
        <f>COUNTIF(AZ4:AZ65,"&lt;&gt;")</f>
        <v>18</v>
      </c>
      <c r="BA1">
        <f t="shared" si="0"/>
        <v>20</v>
      </c>
      <c r="BB1">
        <f>COUNTIF(BB4:BB68,"&lt;&gt;")</f>
        <v>18</v>
      </c>
      <c r="BC1">
        <f>COUNTIF(BC4:BC67,"&lt;&gt;")</f>
        <v>13</v>
      </c>
      <c r="BD1">
        <f>COUNTIF(BD4:BD68,"&lt;&gt;")</f>
        <v>14</v>
      </c>
      <c r="BE1">
        <f>COUNTIF(BE4:BE67,"&lt;&gt;")</f>
        <v>8</v>
      </c>
      <c r="BF1">
        <f>COUNTIF(BF4:BF69,"&lt;&gt;")</f>
        <v>7</v>
      </c>
      <c r="BG1">
        <f>COUNTIF(BG4:BG64,"&lt;&gt;")</f>
        <v>6</v>
      </c>
      <c r="BH1">
        <f>COUNTIF(BH4:BH68,"&lt;&gt;")</f>
        <v>7</v>
      </c>
      <c r="BI1">
        <f t="shared" ref="BI1:BQ1" si="1">COUNTIF(BI4:BI70,"&lt;&gt;")</f>
        <v>1</v>
      </c>
      <c r="BJ1">
        <f>COUNTIF(BJ4:BJ67,"&lt;&gt;")</f>
        <v>9</v>
      </c>
      <c r="BK1">
        <f>COUNTIF(BK4:BK65,"&lt;&gt;")</f>
        <v>14</v>
      </c>
      <c r="BL1">
        <f t="shared" si="1"/>
        <v>1</v>
      </c>
      <c r="BM1">
        <f t="shared" ref="BM1" si="2">COUNTIF(BM4:BM69,"&lt;&gt;")</f>
        <v>12</v>
      </c>
      <c r="BN1">
        <f>COUNTIF(BN4:BN68,"&lt;&gt;")</f>
        <v>11</v>
      </c>
      <c r="BO1">
        <f>COUNTIF(BO4:BO69,"&lt;&gt;")</f>
        <v>7</v>
      </c>
      <c r="BP1">
        <f t="shared" si="1"/>
        <v>9</v>
      </c>
      <c r="BQ1">
        <f t="shared" si="1"/>
        <v>3</v>
      </c>
    </row>
    <row r="2" ht="14.45" customHeight="1" spans="1:69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2" t="s">
        <v>1</v>
      </c>
      <c r="L2" s="2" t="s">
        <v>1</v>
      </c>
      <c r="M2" s="2" t="s">
        <v>1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3" t="s">
        <v>2</v>
      </c>
      <c r="AC2" s="3" t="s">
        <v>2</v>
      </c>
      <c r="AD2" s="3" t="s">
        <v>2</v>
      </c>
      <c r="AE2" s="3" t="s">
        <v>2</v>
      </c>
      <c r="AF2" s="3" t="s">
        <v>2</v>
      </c>
      <c r="AG2" s="3" t="s">
        <v>2</v>
      </c>
      <c r="AH2" s="4" t="s">
        <v>2</v>
      </c>
      <c r="AI2" s="4" t="s">
        <v>2</v>
      </c>
      <c r="AJ2" s="4" t="s">
        <v>2</v>
      </c>
      <c r="AK2" s="4" t="s">
        <v>2</v>
      </c>
      <c r="AL2" s="5" t="s">
        <v>3</v>
      </c>
      <c r="AM2" s="5" t="s">
        <v>3</v>
      </c>
      <c r="AN2" s="5" t="s">
        <v>3</v>
      </c>
      <c r="AO2" s="5" t="s">
        <v>3</v>
      </c>
      <c r="AP2" s="5" t="s">
        <v>3</v>
      </c>
      <c r="AQ2" s="5" t="s">
        <v>3</v>
      </c>
      <c r="AR2" s="5" t="s">
        <v>3</v>
      </c>
      <c r="AS2" s="5" t="s">
        <v>3</v>
      </c>
      <c r="AT2" s="5" t="s">
        <v>3</v>
      </c>
      <c r="AU2" s="5" t="s">
        <v>3</v>
      </c>
      <c r="AV2" s="5" t="s">
        <v>3</v>
      </c>
      <c r="AW2" s="5" t="s">
        <v>3</v>
      </c>
      <c r="AX2" s="5" t="s">
        <v>3</v>
      </c>
      <c r="AY2" s="5" t="s">
        <v>3</v>
      </c>
      <c r="AZ2" s="5" t="s">
        <v>3</v>
      </c>
      <c r="BA2" s="5" t="s">
        <v>3</v>
      </c>
      <c r="BB2" s="5" t="s">
        <v>3</v>
      </c>
      <c r="BC2" s="5" t="s">
        <v>3</v>
      </c>
      <c r="BD2" s="5" t="s">
        <v>3</v>
      </c>
      <c r="BE2" s="5" t="s">
        <v>3</v>
      </c>
      <c r="BF2" s="5" t="s">
        <v>3</v>
      </c>
      <c r="BG2" s="5" t="s">
        <v>3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</row>
    <row r="3" ht="15" customHeight="1" spans="1:70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t="s">
        <v>71</v>
      </c>
      <c r="BQ3" t="s">
        <v>72</v>
      </c>
    </row>
    <row r="4" ht="15" customHeight="1" spans="1:69" x14ac:dyDescent="0.25">
      <c r="A4" t="s">
        <v>73</v>
      </c>
      <c r="B4" t="s">
        <v>74</v>
      </c>
      <c r="C4" t="s">
        <v>74</v>
      </c>
      <c r="D4" t="s">
        <v>74</v>
      </c>
      <c r="E4" t="s">
        <v>74</v>
      </c>
      <c r="F4" t="s">
        <v>75</v>
      </c>
      <c r="G4" t="s">
        <v>75</v>
      </c>
      <c r="H4" t="s">
        <v>76</v>
      </c>
      <c r="I4" t="s">
        <v>76</v>
      </c>
      <c r="J4" t="s">
        <v>77</v>
      </c>
      <c r="K4" t="s">
        <v>78</v>
      </c>
      <c r="L4" t="s">
        <v>76</v>
      </c>
      <c r="M4" t="s">
        <v>79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78</v>
      </c>
      <c r="AA4" t="s">
        <v>78</v>
      </c>
      <c r="AB4" t="s">
        <v>75</v>
      </c>
      <c r="AC4" t="s">
        <v>75</v>
      </c>
      <c r="AD4" t="s">
        <v>74</v>
      </c>
      <c r="AE4" t="s">
        <v>74</v>
      </c>
      <c r="AF4" t="s">
        <v>74</v>
      </c>
      <c r="AG4" t="s">
        <v>74</v>
      </c>
      <c r="AH4" t="s">
        <v>77</v>
      </c>
      <c r="AI4" t="s">
        <v>80</v>
      </c>
      <c r="AJ4" t="s">
        <v>81</v>
      </c>
      <c r="AK4" t="s">
        <v>82</v>
      </c>
      <c r="AL4" t="s">
        <v>83</v>
      </c>
      <c r="AM4" t="s">
        <v>76</v>
      </c>
      <c r="AN4" t="s">
        <v>84</v>
      </c>
      <c r="AO4" t="s">
        <v>74</v>
      </c>
      <c r="AP4" t="s">
        <v>73</v>
      </c>
      <c r="AQ4" t="s">
        <v>85</v>
      </c>
      <c r="AR4" t="s">
        <v>73</v>
      </c>
      <c r="AS4" t="s">
        <v>73</v>
      </c>
      <c r="AT4" t="s">
        <v>73</v>
      </c>
      <c r="AU4" t="s">
        <v>83</v>
      </c>
      <c r="AV4" t="s">
        <v>83</v>
      </c>
      <c r="AW4" t="s">
        <v>83</v>
      </c>
      <c r="AX4" t="s">
        <v>76</v>
      </c>
      <c r="AY4" t="s">
        <v>75</v>
      </c>
      <c r="AZ4" t="s">
        <v>74</v>
      </c>
      <c r="BA4" t="s">
        <v>74</v>
      </c>
      <c r="BB4" t="s">
        <v>74</v>
      </c>
      <c r="BC4" t="s">
        <v>76</v>
      </c>
      <c r="BD4" t="s">
        <v>86</v>
      </c>
      <c r="BE4" t="s">
        <v>86</v>
      </c>
      <c r="BF4" t="s">
        <v>84</v>
      </c>
      <c r="BG4" t="s">
        <v>75</v>
      </c>
      <c r="BH4" t="s">
        <v>80</v>
      </c>
      <c r="BI4" t="s">
        <v>76</v>
      </c>
      <c r="BJ4" t="s">
        <v>87</v>
      </c>
      <c r="BK4" t="s">
        <v>88</v>
      </c>
      <c r="BL4" t="s">
        <v>89</v>
      </c>
      <c r="BM4" t="s">
        <v>89</v>
      </c>
      <c r="BN4" t="s">
        <v>90</v>
      </c>
      <c r="BO4" t="s">
        <v>77</v>
      </c>
      <c r="BP4" t="s">
        <v>91</v>
      </c>
      <c r="BQ4" t="s">
        <v>92</v>
      </c>
    </row>
    <row r="5" ht="15" customHeight="1" spans="1:69" x14ac:dyDescent="0.25">
      <c r="A5" t="s">
        <v>76</v>
      </c>
      <c r="B5" t="s">
        <v>75</v>
      </c>
      <c r="C5" t="s">
        <v>86</v>
      </c>
      <c r="D5" t="s">
        <v>86</v>
      </c>
      <c r="E5" t="s">
        <v>73</v>
      </c>
      <c r="F5" t="s">
        <v>80</v>
      </c>
      <c r="G5" t="s">
        <v>84</v>
      </c>
      <c r="H5" t="s">
        <v>75</v>
      </c>
      <c r="I5" t="s">
        <v>84</v>
      </c>
      <c r="J5" t="s">
        <v>93</v>
      </c>
      <c r="K5" t="s">
        <v>76</v>
      </c>
      <c r="L5" t="s">
        <v>80</v>
      </c>
      <c r="N5" t="s">
        <v>75</v>
      </c>
      <c r="O5" t="s">
        <v>76</v>
      </c>
      <c r="P5" t="s">
        <v>74</v>
      </c>
      <c r="Q5" t="s">
        <v>75</v>
      </c>
      <c r="R5" t="s">
        <v>75</v>
      </c>
      <c r="S5" t="s">
        <v>74</v>
      </c>
      <c r="T5" t="s">
        <v>74</v>
      </c>
      <c r="U5" t="s">
        <v>75</v>
      </c>
      <c r="V5" t="s">
        <v>75</v>
      </c>
      <c r="W5" t="s">
        <v>76</v>
      </c>
      <c r="X5" t="s">
        <v>94</v>
      </c>
      <c r="Y5" t="s">
        <v>76</v>
      </c>
      <c r="Z5" t="s">
        <v>76</v>
      </c>
      <c r="AA5" t="s">
        <v>86</v>
      </c>
      <c r="AB5" t="s">
        <v>80</v>
      </c>
      <c r="AC5" t="s">
        <v>78</v>
      </c>
      <c r="AD5" t="s">
        <v>86</v>
      </c>
      <c r="AE5" t="s">
        <v>86</v>
      </c>
      <c r="AF5" t="s">
        <v>86</v>
      </c>
      <c r="AG5" t="s">
        <v>86</v>
      </c>
      <c r="AH5" t="s">
        <v>93</v>
      </c>
      <c r="AI5" t="s">
        <v>95</v>
      </c>
      <c r="AJ5" t="s">
        <v>91</v>
      </c>
      <c r="AK5" t="s">
        <v>90</v>
      </c>
      <c r="AL5" t="s">
        <v>84</v>
      </c>
      <c r="AM5" t="s">
        <v>84</v>
      </c>
      <c r="AN5" t="s">
        <v>73</v>
      </c>
      <c r="AO5" t="s">
        <v>86</v>
      </c>
      <c r="AP5" t="s">
        <v>86</v>
      </c>
      <c r="AQ5" t="s">
        <v>84</v>
      </c>
      <c r="AR5" t="s">
        <v>96</v>
      </c>
      <c r="AS5" t="s">
        <v>75</v>
      </c>
      <c r="AT5" t="s">
        <v>86</v>
      </c>
      <c r="AU5" t="s">
        <v>85</v>
      </c>
      <c r="AV5" t="s">
        <v>85</v>
      </c>
      <c r="AW5" t="s">
        <v>85</v>
      </c>
      <c r="AX5" t="s">
        <v>97</v>
      </c>
      <c r="AY5" t="s">
        <v>76</v>
      </c>
      <c r="AZ5" t="s">
        <v>76</v>
      </c>
      <c r="BA5" t="s">
        <v>76</v>
      </c>
      <c r="BB5" t="s">
        <v>86</v>
      </c>
      <c r="BC5" t="s">
        <v>98</v>
      </c>
      <c r="BD5" t="s">
        <v>99</v>
      </c>
      <c r="BE5" t="s">
        <v>88</v>
      </c>
      <c r="BF5" t="s">
        <v>77</v>
      </c>
      <c r="BG5" t="s">
        <v>100</v>
      </c>
      <c r="BH5" t="s">
        <v>101</v>
      </c>
      <c r="BJ5" t="s">
        <v>88</v>
      </c>
      <c r="BK5" t="s">
        <v>99</v>
      </c>
      <c r="BM5" t="s">
        <v>90</v>
      </c>
      <c r="BN5" t="s">
        <v>91</v>
      </c>
      <c r="BO5" t="s">
        <v>93</v>
      </c>
      <c r="BP5" t="s">
        <v>102</v>
      </c>
      <c r="BQ5" t="s">
        <v>103</v>
      </c>
    </row>
    <row r="6" ht="15" customHeight="1" spans="1:69" x14ac:dyDescent="0.25">
      <c r="A6" t="s">
        <v>84</v>
      </c>
      <c r="B6" t="s">
        <v>80</v>
      </c>
      <c r="C6" t="s">
        <v>84</v>
      </c>
      <c r="D6" t="s">
        <v>75</v>
      </c>
      <c r="E6" t="s">
        <v>75</v>
      </c>
      <c r="F6" t="s">
        <v>76</v>
      </c>
      <c r="G6" t="s">
        <v>77</v>
      </c>
      <c r="H6" t="s">
        <v>80</v>
      </c>
      <c r="I6" t="s">
        <v>98</v>
      </c>
      <c r="J6" t="s">
        <v>91</v>
      </c>
      <c r="K6" t="s">
        <v>80</v>
      </c>
      <c r="L6" t="s">
        <v>89</v>
      </c>
      <c r="N6" t="s">
        <v>74</v>
      </c>
      <c r="O6" t="s">
        <v>86</v>
      </c>
      <c r="P6" t="s">
        <v>84</v>
      </c>
      <c r="Q6" t="s">
        <v>74</v>
      </c>
      <c r="R6" t="s">
        <v>74</v>
      </c>
      <c r="S6" t="s">
        <v>86</v>
      </c>
      <c r="T6" t="s">
        <v>86</v>
      </c>
      <c r="U6" t="s">
        <v>76</v>
      </c>
      <c r="V6" t="s">
        <v>76</v>
      </c>
      <c r="W6" t="s">
        <v>86</v>
      </c>
      <c r="X6" t="s">
        <v>104</v>
      </c>
      <c r="Y6" t="s">
        <v>86</v>
      </c>
      <c r="Z6" t="s">
        <v>97</v>
      </c>
      <c r="AA6" t="s">
        <v>96</v>
      </c>
      <c r="AB6" t="s">
        <v>105</v>
      </c>
      <c r="AC6" t="s">
        <v>80</v>
      </c>
      <c r="AD6" t="s">
        <v>84</v>
      </c>
      <c r="AE6" t="s">
        <v>80</v>
      </c>
      <c r="AF6" t="s">
        <v>84</v>
      </c>
      <c r="AG6" t="s">
        <v>84</v>
      </c>
      <c r="AH6" t="s">
        <v>105</v>
      </c>
      <c r="AI6" t="s">
        <v>106</v>
      </c>
      <c r="AJ6" t="s">
        <v>107</v>
      </c>
      <c r="AK6" t="s">
        <v>79</v>
      </c>
      <c r="AL6" t="s">
        <v>98</v>
      </c>
      <c r="AM6" t="s">
        <v>74</v>
      </c>
      <c r="AN6" t="s">
        <v>108</v>
      </c>
      <c r="AO6" t="s">
        <v>79</v>
      </c>
      <c r="AP6" t="s">
        <v>99</v>
      </c>
      <c r="AQ6" t="s">
        <v>74</v>
      </c>
      <c r="AR6" t="s">
        <v>108</v>
      </c>
      <c r="AS6" t="s">
        <v>76</v>
      </c>
      <c r="AT6" t="s">
        <v>97</v>
      </c>
      <c r="AU6" t="s">
        <v>84</v>
      </c>
      <c r="AV6" t="s">
        <v>84</v>
      </c>
      <c r="AW6" t="s">
        <v>80</v>
      </c>
      <c r="AX6" t="s">
        <v>98</v>
      </c>
      <c r="AY6" t="s">
        <v>73</v>
      </c>
      <c r="AZ6" t="s">
        <v>86</v>
      </c>
      <c r="BA6" t="s">
        <v>86</v>
      </c>
      <c r="BB6" t="s">
        <v>80</v>
      </c>
      <c r="BC6" t="s">
        <v>75</v>
      </c>
      <c r="BD6" t="s">
        <v>98</v>
      </c>
      <c r="BE6" t="s">
        <v>95</v>
      </c>
      <c r="BF6" t="s">
        <v>91</v>
      </c>
      <c r="BG6" t="s">
        <v>109</v>
      </c>
      <c r="BH6" t="s">
        <v>110</v>
      </c>
      <c r="BJ6" t="s">
        <v>91</v>
      </c>
      <c r="BK6" t="s">
        <v>81</v>
      </c>
      <c r="BM6" t="s">
        <v>102</v>
      </c>
      <c r="BN6" t="s">
        <v>94</v>
      </c>
      <c r="BO6" t="s">
        <v>102</v>
      </c>
      <c r="BP6" t="s">
        <v>94</v>
      </c>
      <c r="BQ6" t="s">
        <v>111</v>
      </c>
    </row>
    <row r="7" ht="15" customHeight="1" spans="1:69" x14ac:dyDescent="0.25">
      <c r="A7" t="s">
        <v>98</v>
      </c>
      <c r="B7" t="s">
        <v>82</v>
      </c>
      <c r="C7" t="s">
        <v>98</v>
      </c>
      <c r="D7" t="s">
        <v>80</v>
      </c>
      <c r="E7" t="s">
        <v>80</v>
      </c>
      <c r="F7" t="s">
        <v>81</v>
      </c>
      <c r="G7" t="s">
        <v>93</v>
      </c>
      <c r="H7" t="s">
        <v>77</v>
      </c>
      <c r="I7" t="s">
        <v>81</v>
      </c>
      <c r="J7" t="s">
        <v>94</v>
      </c>
      <c r="K7" t="s">
        <v>89</v>
      </c>
      <c r="L7" t="s">
        <v>77</v>
      </c>
      <c r="N7" t="s">
        <v>80</v>
      </c>
      <c r="O7" t="s">
        <v>84</v>
      </c>
      <c r="P7" t="s">
        <v>98</v>
      </c>
      <c r="Q7" t="s">
        <v>76</v>
      </c>
      <c r="R7" t="s">
        <v>84</v>
      </c>
      <c r="S7" t="s">
        <v>84</v>
      </c>
      <c r="T7" t="s">
        <v>84</v>
      </c>
      <c r="U7" t="s">
        <v>80</v>
      </c>
      <c r="V7" t="s">
        <v>80</v>
      </c>
      <c r="W7" t="s">
        <v>84</v>
      </c>
      <c r="X7" t="s">
        <v>112</v>
      </c>
      <c r="Y7" t="s">
        <v>80</v>
      </c>
      <c r="Z7" t="s">
        <v>96</v>
      </c>
      <c r="AA7" t="s">
        <v>105</v>
      </c>
      <c r="AB7" t="s">
        <v>102</v>
      </c>
      <c r="AC7" t="s">
        <v>97</v>
      </c>
      <c r="AD7" t="s">
        <v>79</v>
      </c>
      <c r="AE7" t="s">
        <v>98</v>
      </c>
      <c r="AF7" t="s">
        <v>81</v>
      </c>
      <c r="AG7" t="s">
        <v>79</v>
      </c>
      <c r="AH7" t="s">
        <v>91</v>
      </c>
      <c r="AI7" t="s">
        <v>104</v>
      </c>
      <c r="AJ7" t="s">
        <v>106</v>
      </c>
      <c r="AK7" t="s">
        <v>113</v>
      </c>
      <c r="AL7" t="s">
        <v>90</v>
      </c>
      <c r="AM7" t="s">
        <v>79</v>
      </c>
      <c r="AN7" t="s">
        <v>96</v>
      </c>
      <c r="AO7" t="s">
        <v>90</v>
      </c>
      <c r="AP7" t="s">
        <v>90</v>
      </c>
      <c r="AQ7" t="s">
        <v>98</v>
      </c>
      <c r="AR7" t="s">
        <v>76</v>
      </c>
      <c r="AS7" t="s">
        <v>80</v>
      </c>
      <c r="AT7" t="s">
        <v>80</v>
      </c>
      <c r="AU7" t="s">
        <v>80</v>
      </c>
      <c r="AV7" t="s">
        <v>75</v>
      </c>
      <c r="AW7" t="s">
        <v>90</v>
      </c>
      <c r="AX7" t="s">
        <v>80</v>
      </c>
      <c r="AY7" t="s">
        <v>79</v>
      </c>
      <c r="AZ7" t="s">
        <v>108</v>
      </c>
      <c r="BA7" t="s">
        <v>99</v>
      </c>
      <c r="BB7" t="s">
        <v>98</v>
      </c>
      <c r="BC7" t="s">
        <v>89</v>
      </c>
      <c r="BD7" t="s">
        <v>76</v>
      </c>
      <c r="BE7" t="s">
        <v>106</v>
      </c>
      <c r="BF7" t="s">
        <v>102</v>
      </c>
      <c r="BG7" t="s">
        <v>114</v>
      </c>
      <c r="BH7" t="s">
        <v>115</v>
      </c>
      <c r="BJ7" t="s">
        <v>102</v>
      </c>
      <c r="BK7" t="s">
        <v>116</v>
      </c>
      <c r="BM7" t="s">
        <v>115</v>
      </c>
      <c r="BN7" t="s">
        <v>107</v>
      </c>
      <c r="BO7" t="s">
        <v>94</v>
      </c>
      <c r="BP7" t="s">
        <v>117</v>
      </c>
    </row>
    <row r="8" ht="15" customHeight="1" spans="1:68" x14ac:dyDescent="0.25">
      <c r="A8" t="s">
        <v>89</v>
      </c>
      <c r="B8" t="s">
        <v>77</v>
      </c>
      <c r="C8" t="s">
        <v>89</v>
      </c>
      <c r="D8" t="s">
        <v>89</v>
      </c>
      <c r="E8" t="s">
        <v>76</v>
      </c>
      <c r="F8" t="s">
        <v>88</v>
      </c>
      <c r="H8" t="s">
        <v>93</v>
      </c>
      <c r="I8" t="s">
        <v>88</v>
      </c>
      <c r="J8" t="s">
        <v>118</v>
      </c>
      <c r="K8" t="s">
        <v>77</v>
      </c>
      <c r="L8" t="s">
        <v>113</v>
      </c>
      <c r="N8" t="s">
        <v>82</v>
      </c>
      <c r="O8" t="s">
        <v>98</v>
      </c>
      <c r="P8" t="s">
        <v>75</v>
      </c>
      <c r="Q8" t="s">
        <v>80</v>
      </c>
      <c r="R8" t="s">
        <v>79</v>
      </c>
      <c r="S8" t="s">
        <v>80</v>
      </c>
      <c r="T8" t="s">
        <v>98</v>
      </c>
      <c r="U8" t="s">
        <v>79</v>
      </c>
      <c r="V8" t="s">
        <v>89</v>
      </c>
      <c r="W8" t="s">
        <v>108</v>
      </c>
      <c r="X8" t="s">
        <v>119</v>
      </c>
      <c r="Y8" t="s">
        <v>79</v>
      </c>
      <c r="Z8" t="s">
        <v>77</v>
      </c>
      <c r="AA8" t="s">
        <v>79</v>
      </c>
      <c r="AB8" t="s">
        <v>95</v>
      </c>
      <c r="AC8" t="s">
        <v>79</v>
      </c>
      <c r="AD8" t="s">
        <v>105</v>
      </c>
      <c r="AE8" t="s">
        <v>90</v>
      </c>
      <c r="AF8" t="s">
        <v>77</v>
      </c>
      <c r="AG8" t="s">
        <v>89</v>
      </c>
      <c r="AH8" t="s">
        <v>114</v>
      </c>
      <c r="AI8" t="s">
        <v>120</v>
      </c>
      <c r="AJ8" t="s">
        <v>77</v>
      </c>
      <c r="AK8" t="s">
        <v>115</v>
      </c>
      <c r="AL8" t="s">
        <v>88</v>
      </c>
      <c r="AM8" t="s">
        <v>77</v>
      </c>
      <c r="AN8" t="s">
        <v>77</v>
      </c>
      <c r="AO8" t="s">
        <v>88</v>
      </c>
      <c r="AP8" t="s">
        <v>93</v>
      </c>
      <c r="AQ8" t="s">
        <v>87</v>
      </c>
      <c r="AR8" t="s">
        <v>90</v>
      </c>
      <c r="AS8" t="s">
        <v>89</v>
      </c>
      <c r="AT8" t="s">
        <v>75</v>
      </c>
      <c r="AU8" t="s">
        <v>90</v>
      </c>
      <c r="AV8" t="s">
        <v>90</v>
      </c>
      <c r="AW8" t="s">
        <v>110</v>
      </c>
      <c r="AX8" t="s">
        <v>79</v>
      </c>
      <c r="AY8" t="s">
        <v>89</v>
      </c>
      <c r="AZ8" t="s">
        <v>79</v>
      </c>
      <c r="BA8" t="s">
        <v>98</v>
      </c>
      <c r="BB8" t="s">
        <v>90</v>
      </c>
      <c r="BC8" t="s">
        <v>110</v>
      </c>
      <c r="BD8" t="s">
        <v>88</v>
      </c>
      <c r="BE8" t="s">
        <v>121</v>
      </c>
      <c r="BF8" t="s">
        <v>95</v>
      </c>
      <c r="BG8" t="s">
        <v>122</v>
      </c>
      <c r="BH8" t="s">
        <v>92</v>
      </c>
      <c r="BJ8" t="s">
        <v>117</v>
      </c>
      <c r="BK8" t="s">
        <v>123</v>
      </c>
      <c r="BM8" t="s">
        <v>114</v>
      </c>
      <c r="BN8" t="s">
        <v>115</v>
      </c>
      <c r="BO8" t="s">
        <v>104</v>
      </c>
      <c r="BP8" t="s">
        <v>92</v>
      </c>
    </row>
    <row r="9" ht="15" customHeight="1" spans="1:68" x14ac:dyDescent="0.25">
      <c r="A9" t="s">
        <v>93</v>
      </c>
      <c r="B9" t="s">
        <v>91</v>
      </c>
      <c r="C9" t="s">
        <v>88</v>
      </c>
      <c r="D9" t="s">
        <v>98</v>
      </c>
      <c r="E9" t="s">
        <v>82</v>
      </c>
      <c r="F9" t="s">
        <v>115</v>
      </c>
      <c r="H9" t="s">
        <v>100</v>
      </c>
      <c r="I9" t="s">
        <v>115</v>
      </c>
      <c r="J9" t="s">
        <v>104</v>
      </c>
      <c r="K9" t="s">
        <v>113</v>
      </c>
      <c r="L9" t="s">
        <v>106</v>
      </c>
      <c r="N9" t="s">
        <v>101</v>
      </c>
      <c r="O9" t="s">
        <v>93</v>
      </c>
      <c r="P9" t="s">
        <v>79</v>
      </c>
      <c r="Q9" t="s">
        <v>98</v>
      </c>
      <c r="R9" t="s">
        <v>81</v>
      </c>
      <c r="S9" t="s">
        <v>101</v>
      </c>
      <c r="T9" t="s">
        <v>77</v>
      </c>
      <c r="U9" t="s">
        <v>90</v>
      </c>
      <c r="V9" t="s">
        <v>91</v>
      </c>
      <c r="W9" t="s">
        <v>77</v>
      </c>
      <c r="Y9" t="s">
        <v>90</v>
      </c>
      <c r="Z9" t="s">
        <v>93</v>
      </c>
      <c r="AA9" t="s">
        <v>115</v>
      </c>
      <c r="AB9" t="s">
        <v>115</v>
      </c>
      <c r="AC9" t="s">
        <v>90</v>
      </c>
      <c r="AD9" t="s">
        <v>115</v>
      </c>
      <c r="AE9" t="s">
        <v>91</v>
      </c>
      <c r="AF9" t="s">
        <v>93</v>
      </c>
      <c r="AG9" t="s">
        <v>88</v>
      </c>
      <c r="AH9" t="s">
        <v>118</v>
      </c>
      <c r="AI9" t="s">
        <v>109</v>
      </c>
      <c r="AJ9" t="s">
        <v>114</v>
      </c>
      <c r="AK9" t="s">
        <v>106</v>
      </c>
      <c r="AL9" t="s">
        <v>102</v>
      </c>
      <c r="AM9" t="s">
        <v>89</v>
      </c>
      <c r="AN9" t="s">
        <v>90</v>
      </c>
      <c r="AO9" t="s">
        <v>87</v>
      </c>
      <c r="AP9" t="s">
        <v>100</v>
      </c>
      <c r="AQ9" t="s">
        <v>88</v>
      </c>
      <c r="AR9" t="s">
        <v>88</v>
      </c>
      <c r="AS9" t="s">
        <v>88</v>
      </c>
      <c r="AT9" t="s">
        <v>79</v>
      </c>
      <c r="AU9" t="s">
        <v>100</v>
      </c>
      <c r="AV9" t="s">
        <v>110</v>
      </c>
      <c r="AW9" t="s">
        <v>89</v>
      </c>
      <c r="AX9" t="s">
        <v>90</v>
      </c>
      <c r="AY9" t="s">
        <v>77</v>
      </c>
      <c r="AZ9" t="s">
        <v>87</v>
      </c>
      <c r="BA9" t="s">
        <v>81</v>
      </c>
      <c r="BB9" t="s">
        <v>88</v>
      </c>
      <c r="BC9" t="s">
        <v>100</v>
      </c>
      <c r="BD9" t="s">
        <v>102</v>
      </c>
      <c r="BE9" t="s">
        <v>124</v>
      </c>
      <c r="BF9" t="s">
        <v>94</v>
      </c>
      <c r="BG9" t="s">
        <v>125</v>
      </c>
      <c r="BH9" t="s">
        <v>112</v>
      </c>
      <c r="BJ9" t="s">
        <v>92</v>
      </c>
      <c r="BK9" t="s">
        <v>115</v>
      </c>
      <c r="BM9" t="s">
        <v>109</v>
      </c>
      <c r="BN9" t="s">
        <v>104</v>
      </c>
      <c r="BO9" t="s">
        <v>121</v>
      </c>
      <c r="BP9" t="s">
        <v>121</v>
      </c>
    </row>
    <row r="10" ht="15" customHeight="1" spans="1:68" x14ac:dyDescent="0.25">
      <c r="A10" t="s">
        <v>100</v>
      </c>
      <c r="B10" t="s">
        <v>114</v>
      </c>
      <c r="C10" t="s">
        <v>95</v>
      </c>
      <c r="D10" t="s">
        <v>91</v>
      </c>
      <c r="E10" t="s">
        <v>89</v>
      </c>
      <c r="F10" t="s">
        <v>106</v>
      </c>
      <c r="H10" t="s">
        <v>102</v>
      </c>
      <c r="I10" t="s">
        <v>95</v>
      </c>
      <c r="J10" t="s">
        <v>111</v>
      </c>
      <c r="K10" t="s">
        <v>106</v>
      </c>
      <c r="L10" t="s">
        <v>114</v>
      </c>
      <c r="N10" t="s">
        <v>123</v>
      </c>
      <c r="O10" t="s">
        <v>102</v>
      </c>
      <c r="P10" t="s">
        <v>95</v>
      </c>
      <c r="Q10" t="s">
        <v>89</v>
      </c>
      <c r="R10" t="s">
        <v>77</v>
      </c>
      <c r="S10" t="s">
        <v>77</v>
      </c>
      <c r="T10" t="s">
        <v>81</v>
      </c>
      <c r="U10" t="s">
        <v>102</v>
      </c>
      <c r="V10" t="s">
        <v>95</v>
      </c>
      <c r="W10" t="s">
        <v>88</v>
      </c>
      <c r="Y10" t="s">
        <v>87</v>
      </c>
      <c r="Z10" t="s">
        <v>113</v>
      </c>
      <c r="AA10" t="s">
        <v>106</v>
      </c>
      <c r="AB10" t="s">
        <v>94</v>
      </c>
      <c r="AC10" t="s">
        <v>88</v>
      </c>
      <c r="AD10" t="s">
        <v>106</v>
      </c>
      <c r="AE10" t="s">
        <v>95</v>
      </c>
      <c r="AF10" t="s">
        <v>102</v>
      </c>
      <c r="AG10" t="s">
        <v>91</v>
      </c>
      <c r="AH10" t="s">
        <v>115</v>
      </c>
      <c r="AI10" t="s">
        <v>126</v>
      </c>
      <c r="AJ10" t="s">
        <v>111</v>
      </c>
      <c r="AK10" t="s">
        <v>127</v>
      </c>
      <c r="AL10" t="s">
        <v>95</v>
      </c>
      <c r="AM10" t="s">
        <v>100</v>
      </c>
      <c r="AN10" t="s">
        <v>100</v>
      </c>
      <c r="AO10" t="s">
        <v>95</v>
      </c>
      <c r="AP10" t="s">
        <v>91</v>
      </c>
      <c r="AQ10" t="s">
        <v>95</v>
      </c>
      <c r="AR10" t="s">
        <v>77</v>
      </c>
      <c r="AS10" t="s">
        <v>100</v>
      </c>
      <c r="AT10" t="s">
        <v>87</v>
      </c>
      <c r="AU10" t="s">
        <v>91</v>
      </c>
      <c r="AV10" t="s">
        <v>101</v>
      </c>
      <c r="AW10" t="s">
        <v>102</v>
      </c>
      <c r="AX10" t="s">
        <v>88</v>
      </c>
      <c r="AY10" t="s">
        <v>100</v>
      </c>
      <c r="AZ10" t="s">
        <v>90</v>
      </c>
      <c r="BA10" t="s">
        <v>88</v>
      </c>
      <c r="BB10" t="s">
        <v>93</v>
      </c>
      <c r="BC10" t="s">
        <v>106</v>
      </c>
      <c r="BD10" t="s">
        <v>116</v>
      </c>
      <c r="BE10" t="s">
        <v>128</v>
      </c>
      <c r="BF10" t="s">
        <v>129</v>
      </c>
      <c r="BH10" t="s">
        <v>125</v>
      </c>
      <c r="BJ10" t="s">
        <v>104</v>
      </c>
      <c r="BK10" t="s">
        <v>107</v>
      </c>
      <c r="BM10" t="s">
        <v>103</v>
      </c>
      <c r="BN10" t="s">
        <v>112</v>
      </c>
      <c r="BO10" t="s">
        <v>129</v>
      </c>
      <c r="BP10" t="s">
        <v>124</v>
      </c>
    </row>
    <row r="11" ht="15" customHeight="1" spans="1:68" x14ac:dyDescent="0.25">
      <c r="A11" t="s">
        <v>91</v>
      </c>
      <c r="B11" t="s">
        <v>118</v>
      </c>
      <c r="C11" t="s">
        <v>115</v>
      </c>
      <c r="D11" t="s">
        <v>100</v>
      </c>
      <c r="E11" t="s">
        <v>102</v>
      </c>
      <c r="F11" t="s">
        <v>94</v>
      </c>
      <c r="H11" t="s">
        <v>130</v>
      </c>
      <c r="I11" t="s">
        <v>92</v>
      </c>
      <c r="J11" t="s">
        <v>131</v>
      </c>
      <c r="K11" t="s">
        <v>114</v>
      </c>
      <c r="L11" t="s">
        <v>127</v>
      </c>
      <c r="N11" t="s">
        <v>118</v>
      </c>
      <c r="O11" t="s">
        <v>95</v>
      </c>
      <c r="P11" t="s">
        <v>115</v>
      </c>
      <c r="Q11" t="s">
        <v>93</v>
      </c>
      <c r="R11" t="s">
        <v>87</v>
      </c>
      <c r="S11" t="s">
        <v>93</v>
      </c>
      <c r="T11" t="s">
        <v>95</v>
      </c>
      <c r="U11" t="s">
        <v>95</v>
      </c>
      <c r="V11" t="s">
        <v>130</v>
      </c>
      <c r="W11" t="s">
        <v>93</v>
      </c>
      <c r="Y11" t="s">
        <v>100</v>
      </c>
      <c r="Z11" t="s">
        <v>107</v>
      </c>
      <c r="AA11" t="s">
        <v>114</v>
      </c>
      <c r="AB11" t="s">
        <v>104</v>
      </c>
      <c r="AC11" t="s">
        <v>102</v>
      </c>
      <c r="AD11" t="s">
        <v>94</v>
      </c>
      <c r="AE11" t="s">
        <v>130</v>
      </c>
      <c r="AF11" t="s">
        <v>94</v>
      </c>
      <c r="AG11" t="s">
        <v>102</v>
      </c>
      <c r="AH11" t="s">
        <v>100</v>
      </c>
      <c r="AI11" t="s">
        <v>132</v>
      </c>
      <c r="AJ11" t="s">
        <v>133</v>
      </c>
      <c r="AK11" t="s">
        <v>88</v>
      </c>
      <c r="AL11" t="s">
        <v>94</v>
      </c>
      <c r="AM11" t="s">
        <v>91</v>
      </c>
      <c r="AN11" t="s">
        <v>91</v>
      </c>
      <c r="AO11" t="s">
        <v>120</v>
      </c>
      <c r="AP11" t="s">
        <v>115</v>
      </c>
      <c r="AQ11" t="s">
        <v>106</v>
      </c>
      <c r="AR11" t="s">
        <v>100</v>
      </c>
      <c r="AS11" t="s">
        <v>102</v>
      </c>
      <c r="AT11" t="s">
        <v>90</v>
      </c>
      <c r="AU11" t="s">
        <v>94</v>
      </c>
      <c r="AV11" t="s">
        <v>94</v>
      </c>
      <c r="AW11" t="s">
        <v>100</v>
      </c>
      <c r="AX11" t="s">
        <v>93</v>
      </c>
      <c r="AY11" t="s">
        <v>91</v>
      </c>
      <c r="AZ11" t="s">
        <v>100</v>
      </c>
      <c r="BA11" t="s">
        <v>91</v>
      </c>
      <c r="BB11" t="s">
        <v>87</v>
      </c>
      <c r="BC11" t="s">
        <v>91</v>
      </c>
      <c r="BD11" t="s">
        <v>118</v>
      </c>
      <c r="BE11" t="s">
        <v>119</v>
      </c>
      <c r="BJ11" t="s">
        <v>129</v>
      </c>
      <c r="BK11" t="s">
        <v>104</v>
      </c>
      <c r="BM11" t="s">
        <v>121</v>
      </c>
      <c r="BN11" t="s">
        <v>121</v>
      </c>
      <c r="BP11" t="s">
        <v>129</v>
      </c>
    </row>
    <row r="12" ht="15" customHeight="1" spans="1:68" x14ac:dyDescent="0.25">
      <c r="A12" t="s">
        <v>95</v>
      </c>
      <c r="B12" t="s">
        <v>104</v>
      </c>
      <c r="C12" t="s">
        <v>117</v>
      </c>
      <c r="D12" t="s">
        <v>130</v>
      </c>
      <c r="E12" t="s">
        <v>95</v>
      </c>
      <c r="F12" t="s">
        <v>121</v>
      </c>
      <c r="H12" t="s">
        <v>92</v>
      </c>
      <c r="I12" t="s">
        <v>112</v>
      </c>
      <c r="J12" t="s">
        <v>126</v>
      </c>
      <c r="K12" t="s">
        <v>127</v>
      </c>
      <c r="L12" t="s">
        <v>112</v>
      </c>
      <c r="N12" t="s">
        <v>114</v>
      </c>
      <c r="O12" t="s">
        <v>115</v>
      </c>
      <c r="P12" t="s">
        <v>106</v>
      </c>
      <c r="Q12" t="s">
        <v>107</v>
      </c>
      <c r="R12" t="s">
        <v>123</v>
      </c>
      <c r="S12" t="s">
        <v>107</v>
      </c>
      <c r="T12" t="s">
        <v>115</v>
      </c>
      <c r="U12" t="s">
        <v>115</v>
      </c>
      <c r="V12" t="s">
        <v>106</v>
      </c>
      <c r="W12" t="s">
        <v>100</v>
      </c>
      <c r="Y12" t="s">
        <v>95</v>
      </c>
      <c r="Z12" t="s">
        <v>115</v>
      </c>
      <c r="AA12" t="s">
        <v>91</v>
      </c>
      <c r="AB12" t="s">
        <v>112</v>
      </c>
      <c r="AC12" t="s">
        <v>117</v>
      </c>
      <c r="AD12" t="s">
        <v>88</v>
      </c>
      <c r="AE12" t="s">
        <v>111</v>
      </c>
      <c r="AF12" t="s">
        <v>109</v>
      </c>
      <c r="AG12" t="s">
        <v>109</v>
      </c>
      <c r="AH12" t="s">
        <v>104</v>
      </c>
      <c r="AI12" t="s">
        <v>134</v>
      </c>
      <c r="AJ12" t="s">
        <v>92</v>
      </c>
      <c r="AK12" t="s">
        <v>95</v>
      </c>
      <c r="AL12" t="s">
        <v>134</v>
      </c>
      <c r="AM12" t="s">
        <v>102</v>
      </c>
      <c r="AN12" t="s">
        <v>102</v>
      </c>
      <c r="AO12" t="s">
        <v>135</v>
      </c>
      <c r="AP12" t="s">
        <v>107</v>
      </c>
      <c r="AQ12" t="s">
        <v>114</v>
      </c>
      <c r="AR12" t="s">
        <v>102</v>
      </c>
      <c r="AS12" t="s">
        <v>117</v>
      </c>
      <c r="AT12" t="s">
        <v>100</v>
      </c>
      <c r="AU12" t="s">
        <v>136</v>
      </c>
      <c r="AV12" t="s">
        <v>109</v>
      </c>
      <c r="AW12" t="s">
        <v>92</v>
      </c>
      <c r="AX12" t="s">
        <v>135</v>
      </c>
      <c r="AY12" t="s">
        <v>102</v>
      </c>
      <c r="AZ12" t="s">
        <v>91</v>
      </c>
      <c r="BA12" t="s">
        <v>102</v>
      </c>
      <c r="BB12" t="s">
        <v>100</v>
      </c>
      <c r="BC12" t="s">
        <v>104</v>
      </c>
      <c r="BD12" t="s">
        <v>103</v>
      </c>
      <c r="BJ12" t="s">
        <v>137</v>
      </c>
      <c r="BK12" t="s">
        <v>120</v>
      </c>
      <c r="BM12" t="s">
        <v>120</v>
      </c>
      <c r="BN12" t="s">
        <v>114</v>
      </c>
      <c r="BP12" t="s">
        <v>137</v>
      </c>
    </row>
    <row r="13" ht="15" customHeight="1" spans="1:68" x14ac:dyDescent="0.25">
      <c r="A13" t="s">
        <v>92</v>
      </c>
      <c r="B13" t="s">
        <v>103</v>
      </c>
      <c r="C13" t="s">
        <v>109</v>
      </c>
      <c r="D13" t="s">
        <v>102</v>
      </c>
      <c r="E13" t="s">
        <v>106</v>
      </c>
      <c r="F13" t="s">
        <v>120</v>
      </c>
      <c r="H13" t="s">
        <v>111</v>
      </c>
      <c r="I13" t="s">
        <v>121</v>
      </c>
      <c r="J13" t="s">
        <v>132</v>
      </c>
      <c r="K13" t="s">
        <v>112</v>
      </c>
      <c r="L13" t="s">
        <v>121</v>
      </c>
      <c r="N13" t="s">
        <v>109</v>
      </c>
      <c r="O13" t="s">
        <v>94</v>
      </c>
      <c r="P13" t="s">
        <v>114</v>
      </c>
      <c r="Q13" t="s">
        <v>115</v>
      </c>
      <c r="R13" t="s">
        <v>118</v>
      </c>
      <c r="S13" t="s">
        <v>95</v>
      </c>
      <c r="T13" t="s">
        <v>94</v>
      </c>
      <c r="U13" t="s">
        <v>94</v>
      </c>
      <c r="V13" t="s">
        <v>109</v>
      </c>
      <c r="W13" t="s">
        <v>115</v>
      </c>
      <c r="Z13" t="s">
        <v>106</v>
      </c>
      <c r="AA13" t="s">
        <v>104</v>
      </c>
      <c r="AB13" t="s">
        <v>118</v>
      </c>
      <c r="AC13" t="s">
        <v>109</v>
      </c>
      <c r="AD13" t="s">
        <v>109</v>
      </c>
      <c r="AE13" t="s">
        <v>121</v>
      </c>
      <c r="AF13" t="s">
        <v>120</v>
      </c>
      <c r="AG13" t="s">
        <v>103</v>
      </c>
      <c r="AH13" t="s">
        <v>111</v>
      </c>
      <c r="AJ13" t="s">
        <v>129</v>
      </c>
      <c r="AK13" t="s">
        <v>109</v>
      </c>
      <c r="AL13" t="s">
        <v>132</v>
      </c>
      <c r="AM13" t="s">
        <v>106</v>
      </c>
      <c r="AN13" t="s">
        <v>115</v>
      </c>
      <c r="AO13" t="s">
        <v>103</v>
      </c>
      <c r="AP13" t="s">
        <v>121</v>
      </c>
      <c r="AQ13" t="s">
        <v>117</v>
      </c>
      <c r="AR13" t="s">
        <v>106</v>
      </c>
      <c r="AS13" t="s">
        <v>133</v>
      </c>
      <c r="AT13" t="s">
        <v>116</v>
      </c>
      <c r="AU13" t="s">
        <v>121</v>
      </c>
      <c r="AV13" t="s">
        <v>112</v>
      </c>
      <c r="AW13" t="s">
        <v>120</v>
      </c>
      <c r="AX13" t="s">
        <v>118</v>
      </c>
      <c r="AY13" t="s">
        <v>124</v>
      </c>
      <c r="AZ13" t="s">
        <v>115</v>
      </c>
      <c r="BA13" t="s">
        <v>116</v>
      </c>
      <c r="BB13" t="s">
        <v>102</v>
      </c>
      <c r="BC13" t="s">
        <v>121</v>
      </c>
      <c r="BD13" t="s">
        <v>121</v>
      </c>
      <c r="BK13" t="s">
        <v>103</v>
      </c>
      <c r="BM13" t="s">
        <v>138</v>
      </c>
      <c r="BN13" t="s">
        <v>129</v>
      </c>
    </row>
    <row r="14" ht="15" customHeight="1" spans="1:66" x14ac:dyDescent="0.25">
      <c r="A14" t="s">
        <v>112</v>
      </c>
      <c r="B14" t="s">
        <v>112</v>
      </c>
      <c r="C14" t="s">
        <v>131</v>
      </c>
      <c r="D14" t="s">
        <v>117</v>
      </c>
      <c r="E14" t="s">
        <v>114</v>
      </c>
      <c r="F14" t="s">
        <v>138</v>
      </c>
      <c r="H14" t="s">
        <v>120</v>
      </c>
      <c r="I14" t="s">
        <v>120</v>
      </c>
      <c r="J14" t="s">
        <v>139</v>
      </c>
      <c r="K14" t="s">
        <v>131</v>
      </c>
      <c r="L14" t="s">
        <v>131</v>
      </c>
      <c r="N14" t="s">
        <v>111</v>
      </c>
      <c r="O14" t="s">
        <v>90</v>
      </c>
      <c r="P14" t="s">
        <v>104</v>
      </c>
      <c r="Q14" t="s">
        <v>94</v>
      </c>
      <c r="R14" t="s">
        <v>114</v>
      </c>
      <c r="S14" t="s">
        <v>115</v>
      </c>
      <c r="T14" t="s">
        <v>104</v>
      </c>
      <c r="U14" t="s">
        <v>93</v>
      </c>
      <c r="V14" t="s">
        <v>111</v>
      </c>
      <c r="W14" t="s">
        <v>106</v>
      </c>
      <c r="Z14" t="s">
        <v>127</v>
      </c>
      <c r="AA14" t="s">
        <v>111</v>
      </c>
      <c r="AB14" t="s">
        <v>92</v>
      </c>
      <c r="AC14" t="s">
        <v>103</v>
      </c>
      <c r="AD14" t="s">
        <v>112</v>
      </c>
      <c r="AE14" t="s">
        <v>129</v>
      </c>
      <c r="AF14" t="s">
        <v>111</v>
      </c>
      <c r="AG14" t="s">
        <v>117</v>
      </c>
      <c r="AH14" t="s">
        <v>129</v>
      </c>
      <c r="AJ14" t="s">
        <v>121</v>
      </c>
      <c r="AK14" t="s">
        <v>103</v>
      </c>
      <c r="AL14" t="s">
        <v>120</v>
      </c>
      <c r="AM14" t="s">
        <v>92</v>
      </c>
      <c r="AN14" t="s">
        <v>104</v>
      </c>
      <c r="AO14" t="s">
        <v>140</v>
      </c>
      <c r="AP14" t="s">
        <v>120</v>
      </c>
      <c r="AQ14" t="s">
        <v>131</v>
      </c>
      <c r="AR14" t="s">
        <v>94</v>
      </c>
      <c r="AS14" t="s">
        <v>141</v>
      </c>
      <c r="AT14" t="s">
        <v>115</v>
      </c>
      <c r="AU14" t="s">
        <v>124</v>
      </c>
      <c r="AV14" t="s">
        <v>131</v>
      </c>
      <c r="AW14" t="s">
        <v>91</v>
      </c>
      <c r="AX14" t="s">
        <v>92</v>
      </c>
      <c r="AY14" t="s">
        <v>126</v>
      </c>
      <c r="AZ14" t="s">
        <v>104</v>
      </c>
      <c r="BA14" t="s">
        <v>104</v>
      </c>
      <c r="BB14" t="s">
        <v>123</v>
      </c>
      <c r="BC14" t="s">
        <v>129</v>
      </c>
      <c r="BD14" t="s">
        <v>124</v>
      </c>
      <c r="BK14" t="s">
        <v>140</v>
      </c>
      <c r="BM14" t="s">
        <v>134</v>
      </c>
      <c r="BN14" t="s">
        <v>119</v>
      </c>
    </row>
    <row r="15" ht="15" customHeight="1" spans="1:66" x14ac:dyDescent="0.25">
      <c r="A15" t="s">
        <v>131</v>
      </c>
      <c r="B15" t="s">
        <v>141</v>
      </c>
      <c r="C15" t="s">
        <v>138</v>
      </c>
      <c r="D15" t="s">
        <v>111</v>
      </c>
      <c r="E15" t="s">
        <v>92</v>
      </c>
      <c r="F15" t="s">
        <v>134</v>
      </c>
      <c r="H15" t="s">
        <v>134</v>
      </c>
      <c r="I15" t="s">
        <v>124</v>
      </c>
      <c r="K15" t="s">
        <v>134</v>
      </c>
      <c r="L15" t="s">
        <v>134</v>
      </c>
      <c r="N15" t="s">
        <v>133</v>
      </c>
      <c r="O15" t="s">
        <v>111</v>
      </c>
      <c r="P15" t="s">
        <v>109</v>
      </c>
      <c r="Q15" t="s">
        <v>114</v>
      </c>
      <c r="R15" t="s">
        <v>109</v>
      </c>
      <c r="S15" t="s">
        <v>106</v>
      </c>
      <c r="T15" t="s">
        <v>111</v>
      </c>
      <c r="U15" t="s">
        <v>100</v>
      </c>
      <c r="V15" t="s">
        <v>131</v>
      </c>
      <c r="W15" t="s">
        <v>114</v>
      </c>
      <c r="Z15" t="s">
        <v>109</v>
      </c>
      <c r="AA15" t="s">
        <v>121</v>
      </c>
      <c r="AB15" t="s">
        <v>142</v>
      </c>
      <c r="AC15" t="s">
        <v>133</v>
      </c>
      <c r="AD15" t="s">
        <v>119</v>
      </c>
      <c r="AE15" t="s">
        <v>126</v>
      </c>
      <c r="AF15" t="s">
        <v>126</v>
      </c>
      <c r="AG15" t="s">
        <v>126</v>
      </c>
      <c r="AH15" t="s">
        <v>92</v>
      </c>
      <c r="AJ15" t="s">
        <v>122</v>
      </c>
      <c r="AK15" t="s">
        <v>112</v>
      </c>
      <c r="AL15" t="s">
        <v>122</v>
      </c>
      <c r="AM15" t="s">
        <v>109</v>
      </c>
      <c r="AN15" t="s">
        <v>143</v>
      </c>
      <c r="AO15" t="s">
        <v>128</v>
      </c>
      <c r="AP15" t="s">
        <v>104</v>
      </c>
      <c r="AQ15" t="s">
        <v>141</v>
      </c>
      <c r="AR15" t="s">
        <v>104</v>
      </c>
      <c r="AS15" t="s">
        <v>119</v>
      </c>
      <c r="AT15" t="s">
        <v>107</v>
      </c>
      <c r="AU15" t="s">
        <v>134</v>
      </c>
      <c r="AV15" t="s">
        <v>103</v>
      </c>
      <c r="AW15" t="s">
        <v>106</v>
      </c>
      <c r="AX15" t="s">
        <v>111</v>
      </c>
      <c r="AY15" t="s">
        <v>138</v>
      </c>
      <c r="AZ15" t="s">
        <v>112</v>
      </c>
      <c r="BA15" t="s">
        <v>103</v>
      </c>
      <c r="BB15" t="s">
        <v>104</v>
      </c>
      <c r="BC15" t="s">
        <v>119</v>
      </c>
      <c r="BD15" t="s">
        <v>138</v>
      </c>
      <c r="BK15" t="s">
        <v>134</v>
      </c>
      <c r="BM15" t="s">
        <v>122</v>
      </c>
    </row>
    <row r="16" ht="15" customHeight="1" spans="1:65" x14ac:dyDescent="0.25">
      <c r="A16" t="s">
        <v>126</v>
      </c>
      <c r="B16" t="s">
        <v>92</v>
      </c>
      <c r="C16" t="s">
        <v>129</v>
      </c>
      <c r="D16" t="s">
        <v>120</v>
      </c>
      <c r="E16" t="s">
        <v>103</v>
      </c>
      <c r="F16" t="s">
        <v>139</v>
      </c>
      <c r="H16" t="s">
        <v>132</v>
      </c>
      <c r="I16" t="s">
        <v>134</v>
      </c>
      <c r="K16" t="s">
        <v>132</v>
      </c>
      <c r="L16" t="s">
        <v>132</v>
      </c>
      <c r="N16" t="s">
        <v>131</v>
      </c>
      <c r="O16" t="s">
        <v>120</v>
      </c>
      <c r="P16" t="s">
        <v>111</v>
      </c>
      <c r="Q16" t="s">
        <v>109</v>
      </c>
      <c r="R16" t="s">
        <v>103</v>
      </c>
      <c r="S16" t="s">
        <v>109</v>
      </c>
      <c r="T16" t="s">
        <v>133</v>
      </c>
      <c r="U16" t="s">
        <v>104</v>
      </c>
      <c r="V16" t="s">
        <v>134</v>
      </c>
      <c r="W16" t="s">
        <v>104</v>
      </c>
      <c r="Z16" t="s">
        <v>111</v>
      </c>
      <c r="AA16" t="s">
        <v>120</v>
      </c>
      <c r="AB16" t="s">
        <v>144</v>
      </c>
      <c r="AC16" t="s">
        <v>92</v>
      </c>
      <c r="AD16" t="s">
        <v>144</v>
      </c>
      <c r="AE16" t="s">
        <v>119</v>
      </c>
      <c r="AF16" t="s">
        <v>132</v>
      </c>
      <c r="AG16" t="s">
        <v>122</v>
      </c>
      <c r="AH16" t="s">
        <v>122</v>
      </c>
      <c r="AK16" t="s">
        <v>120</v>
      </c>
      <c r="AM16" t="s">
        <v>133</v>
      </c>
      <c r="AN16" t="s">
        <v>136</v>
      </c>
      <c r="AO16" t="s">
        <v>126</v>
      </c>
      <c r="AP16" t="s">
        <v>134</v>
      </c>
      <c r="AQ16" t="s">
        <v>124</v>
      </c>
      <c r="AR16" t="s">
        <v>112</v>
      </c>
      <c r="AS16" t="s">
        <v>125</v>
      </c>
      <c r="AT16" t="s">
        <v>104</v>
      </c>
      <c r="AU16" t="s">
        <v>133</v>
      </c>
      <c r="AV16" t="s">
        <v>124</v>
      </c>
      <c r="AW16" t="s">
        <v>136</v>
      </c>
      <c r="AX16" t="s">
        <v>121</v>
      </c>
      <c r="AY16" t="s">
        <v>132</v>
      </c>
      <c r="AZ16" t="s">
        <v>143</v>
      </c>
      <c r="BA16" t="s">
        <v>133</v>
      </c>
      <c r="BB16" t="s">
        <v>103</v>
      </c>
      <c r="BC16" t="s">
        <v>125</v>
      </c>
      <c r="BD16" t="s">
        <v>134</v>
      </c>
      <c r="BK16" t="s">
        <v>145</v>
      </c>
    </row>
    <row r="17" ht="15" customHeight="1" spans="1:63" x14ac:dyDescent="0.25">
      <c r="A17" t="s">
        <v>132</v>
      </c>
      <c r="B17" t="s">
        <v>131</v>
      </c>
      <c r="C17" t="s">
        <v>122</v>
      </c>
      <c r="D17" t="s">
        <v>131</v>
      </c>
      <c r="E17" t="s">
        <v>131</v>
      </c>
      <c r="I17" t="s">
        <v>122</v>
      </c>
      <c r="L17" t="s">
        <v>120</v>
      </c>
      <c r="N17" t="s">
        <v>122</v>
      </c>
      <c r="O17" t="s">
        <v>138</v>
      </c>
      <c r="P17" t="s">
        <v>120</v>
      </c>
      <c r="Q17" t="s">
        <v>111</v>
      </c>
      <c r="R17" t="s">
        <v>133</v>
      </c>
      <c r="S17" t="s">
        <v>103</v>
      </c>
      <c r="T17" t="s">
        <v>129</v>
      </c>
      <c r="U17" t="s">
        <v>103</v>
      </c>
      <c r="V17" t="s">
        <v>126</v>
      </c>
      <c r="W17" t="s">
        <v>109</v>
      </c>
      <c r="Z17" t="s">
        <v>120</v>
      </c>
      <c r="AA17" t="s">
        <v>126</v>
      </c>
      <c r="AB17" t="s">
        <v>133</v>
      </c>
      <c r="AC17" t="s">
        <v>129</v>
      </c>
      <c r="AD17" t="s">
        <v>126</v>
      </c>
      <c r="AF17" t="s">
        <v>134</v>
      </c>
      <c r="AH17" t="s">
        <v>137</v>
      </c>
      <c r="AK17" t="s">
        <v>133</v>
      </c>
      <c r="AM17" t="s">
        <v>138</v>
      </c>
      <c r="AN17" t="s">
        <v>129</v>
      </c>
      <c r="AO17" t="s">
        <v>142</v>
      </c>
      <c r="AP17" t="s">
        <v>119</v>
      </c>
      <c r="AR17" t="s">
        <v>143</v>
      </c>
      <c r="AT17" t="s">
        <v>111</v>
      </c>
      <c r="AU17" t="s">
        <v>122</v>
      </c>
      <c r="AV17" t="s">
        <v>134</v>
      </c>
      <c r="AW17" t="s">
        <v>94</v>
      </c>
      <c r="AX17" t="s">
        <v>120</v>
      </c>
      <c r="AY17" t="s">
        <v>139</v>
      </c>
      <c r="AZ17" t="s">
        <v>120</v>
      </c>
      <c r="BA17" t="s">
        <v>135</v>
      </c>
      <c r="BB17" t="s">
        <v>121</v>
      </c>
      <c r="BD17" t="s">
        <v>119</v>
      </c>
      <c r="BK17" t="s">
        <v>138</v>
      </c>
    </row>
    <row r="18" ht="15" customHeight="1" spans="1:63" x14ac:dyDescent="0.25">
      <c r="A18" t="s">
        <v>119</v>
      </c>
      <c r="B18" t="s">
        <v>122</v>
      </c>
      <c r="D18" t="s">
        <v>138</v>
      </c>
      <c r="E18" t="s">
        <v>141</v>
      </c>
      <c r="N18" t="s">
        <v>137</v>
      </c>
      <c r="O18" t="s">
        <v>129</v>
      </c>
      <c r="P18" t="s">
        <v>121</v>
      </c>
      <c r="Q18" t="s">
        <v>120</v>
      </c>
      <c r="R18" t="s">
        <v>111</v>
      </c>
      <c r="S18" t="s">
        <v>112</v>
      </c>
      <c r="T18" t="s">
        <v>126</v>
      </c>
      <c r="U18" t="s">
        <v>112</v>
      </c>
      <c r="V18" t="s">
        <v>132</v>
      </c>
      <c r="W18" t="s">
        <v>111</v>
      </c>
      <c r="Z18" t="s">
        <v>126</v>
      </c>
      <c r="AA18" t="s">
        <v>129</v>
      </c>
      <c r="AB18" t="s">
        <v>119</v>
      </c>
      <c r="AC18" t="s">
        <v>132</v>
      </c>
      <c r="AK18" t="s">
        <v>138</v>
      </c>
      <c r="AM18" t="s">
        <v>134</v>
      </c>
      <c r="AN18" t="s">
        <v>126</v>
      </c>
      <c r="AO18" t="s">
        <v>119</v>
      </c>
      <c r="AR18" t="s">
        <v>91</v>
      </c>
      <c r="AT18" t="s">
        <v>121</v>
      </c>
      <c r="AW18" t="s">
        <v>138</v>
      </c>
      <c r="AX18" t="s">
        <v>128</v>
      </c>
      <c r="AZ18" t="s">
        <v>140</v>
      </c>
      <c r="BA18" t="s">
        <v>140</v>
      </c>
      <c r="BB18" t="s">
        <v>135</v>
      </c>
    </row>
    <row r="19" ht="15" customHeight="1" spans="1:54" x14ac:dyDescent="0.25">
      <c r="D19" t="s">
        <v>122</v>
      </c>
      <c r="E19" t="s">
        <v>132</v>
      </c>
      <c r="O19" t="s">
        <v>145</v>
      </c>
      <c r="P19" t="s">
        <v>134</v>
      </c>
      <c r="Q19" t="s">
        <v>126</v>
      </c>
      <c r="R19" t="s">
        <v>134</v>
      </c>
      <c r="S19" t="s">
        <v>121</v>
      </c>
      <c r="T19" t="s">
        <v>119</v>
      </c>
      <c r="U19" t="s">
        <v>120</v>
      </c>
      <c r="V19" t="s">
        <v>133</v>
      </c>
      <c r="W19" t="s">
        <v>129</v>
      </c>
      <c r="Z19" t="s">
        <v>145</v>
      </c>
      <c r="AB19" t="s">
        <v>137</v>
      </c>
      <c r="AC19" t="s">
        <v>119</v>
      </c>
      <c r="AK19" t="s">
        <v>134</v>
      </c>
      <c r="AM19" t="s">
        <v>139</v>
      </c>
      <c r="AN19" t="s">
        <v>132</v>
      </c>
      <c r="AO19" t="s">
        <v>138</v>
      </c>
      <c r="AR19" t="s">
        <v>136</v>
      </c>
      <c r="AT19" t="s">
        <v>120</v>
      </c>
      <c r="AW19" t="s">
        <v>134</v>
      </c>
      <c r="AX19" t="s">
        <v>132</v>
      </c>
      <c r="AZ19" t="s">
        <v>134</v>
      </c>
      <c r="BA19" t="s">
        <v>134</v>
      </c>
      <c r="BB19" t="s">
        <v>142</v>
      </c>
    </row>
    <row r="20" ht="15" customHeight="1" spans="4:54" x14ac:dyDescent="0.25">
      <c r="E20" t="s">
        <v>119</v>
      </c>
      <c r="P20" t="s">
        <v>126</v>
      </c>
      <c r="Q20" t="s">
        <v>137</v>
      </c>
      <c r="R20" t="s">
        <v>138</v>
      </c>
      <c r="S20" t="s">
        <v>94</v>
      </c>
      <c r="U20" t="s">
        <v>109</v>
      </c>
      <c r="V20" t="s">
        <v>122</v>
      </c>
      <c r="W20" t="s">
        <v>126</v>
      </c>
      <c r="AC20" t="s">
        <v>137</v>
      </c>
      <c r="AK20" t="s">
        <v>122</v>
      </c>
      <c r="AN20" t="s">
        <v>138</v>
      </c>
      <c r="AR20" t="s">
        <v>134</v>
      </c>
      <c r="AT20" t="s">
        <v>128</v>
      </c>
      <c r="AW20" t="s">
        <v>122</v>
      </c>
      <c r="AZ20" t="s">
        <v>119</v>
      </c>
      <c r="BA20" t="s">
        <v>126</v>
      </c>
      <c r="BB20" t="s">
        <v>126</v>
      </c>
    </row>
    <row r="21" ht="15" customHeight="1" spans="5:54" x14ac:dyDescent="0.25">
      <c r="P21" t="s">
        <v>145</v>
      </c>
      <c r="R21" t="s">
        <v>104</v>
      </c>
      <c r="S21" t="s">
        <v>142</v>
      </c>
      <c r="U21" t="s">
        <v>134</v>
      </c>
      <c r="V21" t="s">
        <v>119</v>
      </c>
      <c r="W21" t="s">
        <v>122</v>
      </c>
      <c r="AN21" t="s">
        <v>122</v>
      </c>
      <c r="AR21" t="s">
        <v>120</v>
      </c>
      <c r="AT21" t="s">
        <v>132</v>
      </c>
      <c r="AZ21" t="s">
        <v>138</v>
      </c>
      <c r="BA21" t="s">
        <v>143</v>
      </c>
      <c r="BB21" t="s">
        <v>122</v>
      </c>
    </row>
    <row r="22" ht="15" customHeight="1" spans="16:54" x14ac:dyDescent="0.25">
      <c r="R22" t="s">
        <v>137</v>
      </c>
      <c r="S22" t="s">
        <v>126</v>
      </c>
      <c r="U22" t="s">
        <v>132</v>
      </c>
      <c r="AR22" t="s">
        <v>122</v>
      </c>
      <c r="AT22" t="s">
        <v>119</v>
      </c>
      <c r="BA22" t="s">
        <v>119</v>
      </c>
    </row>
    <row r="23" ht="15" customHeight="1" spans="18:53" x14ac:dyDescent="0.25">
      <c r="S23" t="s">
        <v>122</v>
      </c>
      <c r="U23" t="s">
        <v>119</v>
      </c>
      <c r="BA23" t="s">
        <v>138</v>
      </c>
    </row>
    <row r="24" ht="15" customHeight="1" spans="19:53" x14ac:dyDescent="0.25"/>
    <row r="25" ht="15" customHeight="1" x14ac:dyDescent="0.25"/>
    <row r="26" ht="15.7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T42"/>
  <sheetViews>
    <sheetView workbookViewId="0" zoomScale="100" zoomScaleNormal="100">
      <selection activeCell="H21" sqref="H21"/>
    </sheetView>
  </sheetViews>
  <sheetFormatPr defaultRowHeight="14.45" outlineLevelRow="0" outlineLevelCol="0" x14ac:dyDescent="0.25" customHeight="1"/>
  <cols>
    <col min="1" max="1" width="10.5703125" customWidth="1"/>
    <col min="2" max="3" width="12" customWidth="1"/>
    <col min="4" max="4" width="17.42578125" customWidth="1"/>
    <col min="5" max="5" width="15.5703125" customWidth="1"/>
    <col min="6" max="6" width="16" customWidth="1"/>
    <col min="7" max="7" width="13" customWidth="1"/>
    <col min="8" max="8" width="13.7109375" customWidth="1"/>
    <col min="9" max="9" width="13.42578125" customWidth="1"/>
    <col min="11" max="11" width="19" customWidth="1"/>
    <col min="13" max="13" width="19.5703125" customWidth="1"/>
    <col min="14" max="14" width="20.42578125" customWidth="1"/>
    <col min="16" max="16" width="20.28515625" customWidth="1"/>
    <col min="17" max="17" width="15.85546875" customWidth="1"/>
    <col min="19" max="19" width="30.42578125" customWidth="1"/>
    <col min="22" max="22" width="17.42578125" customWidth="1"/>
    <col min="25" max="25" width="22.85546875" customWidth="1"/>
    <col min="29" max="29" width="19" customWidth="1"/>
    <col min="30" max="30" width="10.7109375" customWidth="1"/>
    <col min="33" max="33" width="13.7109375" customWidth="1"/>
    <col min="34" max="34" width="14.140625" customWidth="1"/>
    <col min="35" max="35" width="14.5703125" customWidth="1"/>
    <col min="38" max="38" width="15.5703125" customWidth="1"/>
    <col min="40" max="40" width="15.42578125" customWidth="1"/>
    <col min="41" max="41" width="23.28515625" customWidth="1"/>
    <col min="43" max="43" width="11.42578125" customWidth="1"/>
    <col min="45" max="45" width="12.85546875" customWidth="1"/>
    <col min="47" max="47" width="15.7109375" customWidth="1"/>
    <col min="48" max="48" width="14" customWidth="1"/>
    <col min="49" max="49" width="16.5703125" customWidth="1"/>
    <col min="52" max="52" width="12.140625" customWidth="1"/>
    <col min="56" max="56" width="28.5703125" customWidth="1"/>
    <col min="57" max="57" width="18.28515625" customWidth="1"/>
    <col min="58" max="58" width="13.140625" customWidth="1"/>
    <col min="59" max="59" width="11" customWidth="1"/>
    <col min="60" max="60" width="12.7109375" customWidth="1"/>
    <col min="64" max="64" width="13.85546875" customWidth="1"/>
    <col min="65" max="65" width="14.85546875" customWidth="1"/>
    <col min="66" max="66" width="15" customWidth="1"/>
    <col min="70" max="70" width="17.140625" customWidth="1"/>
    <col min="83" max="83" width="13.7109375" customWidth="1"/>
    <col min="85" max="85" width="17.28515625" customWidth="1"/>
  </cols>
  <sheetData>
    <row r="3" ht="15" customHeight="1" spans="1:72" x14ac:dyDescent="0.25">
      <c r="A3" t="s">
        <v>73</v>
      </c>
      <c r="B3" t="s">
        <v>78</v>
      </c>
      <c r="C3" t="s">
        <v>83</v>
      </c>
      <c r="D3" t="s">
        <v>74</v>
      </c>
      <c r="E3" t="s">
        <v>85</v>
      </c>
      <c r="F3" t="s">
        <v>75</v>
      </c>
      <c r="G3" t="s">
        <v>76</v>
      </c>
      <c r="H3" t="s">
        <v>86</v>
      </c>
      <c r="I3" t="s">
        <v>97</v>
      </c>
      <c r="J3" t="s">
        <v>99</v>
      </c>
      <c r="K3" t="s">
        <v>84</v>
      </c>
      <c r="L3" t="s">
        <v>80</v>
      </c>
      <c r="M3" t="s">
        <v>96</v>
      </c>
      <c r="N3" t="s">
        <v>98</v>
      </c>
      <c r="O3" t="s">
        <v>108</v>
      </c>
      <c r="P3" t="s">
        <v>79</v>
      </c>
      <c r="Q3" t="s">
        <v>82</v>
      </c>
      <c r="R3" t="s">
        <v>87</v>
      </c>
      <c r="S3" t="s">
        <v>101</v>
      </c>
      <c r="T3" t="s">
        <v>89</v>
      </c>
      <c r="U3" t="s">
        <v>81</v>
      </c>
      <c r="V3" t="s">
        <v>90</v>
      </c>
      <c r="W3" t="s">
        <v>77</v>
      </c>
      <c r="X3" t="s">
        <v>110</v>
      </c>
      <c r="Y3" t="s">
        <v>88</v>
      </c>
      <c r="Z3" t="s">
        <v>93</v>
      </c>
      <c r="AA3" t="s">
        <v>105</v>
      </c>
      <c r="AB3" t="s">
        <v>100</v>
      </c>
      <c r="AC3" t="s">
        <v>113</v>
      </c>
      <c r="AD3" t="s">
        <v>91</v>
      </c>
      <c r="AE3" t="s">
        <v>102</v>
      </c>
      <c r="AF3" t="s">
        <v>107</v>
      </c>
      <c r="AG3" t="s">
        <v>135</v>
      </c>
      <c r="AH3" t="s">
        <v>116</v>
      </c>
      <c r="AI3" t="s">
        <v>95</v>
      </c>
      <c r="AJ3" t="s">
        <v>123</v>
      </c>
      <c r="AK3" t="s">
        <v>115</v>
      </c>
      <c r="AL3" t="s">
        <v>118</v>
      </c>
      <c r="AM3" t="s">
        <v>106</v>
      </c>
      <c r="AN3" t="s">
        <v>114</v>
      </c>
      <c r="AO3" t="s">
        <v>94</v>
      </c>
      <c r="AP3" t="s">
        <v>127</v>
      </c>
      <c r="AQ3" t="s">
        <v>130</v>
      </c>
      <c r="AR3" t="s">
        <v>117</v>
      </c>
      <c r="AS3" t="s">
        <v>92</v>
      </c>
      <c r="AT3" t="s">
        <v>104</v>
      </c>
      <c r="AU3" t="s">
        <v>109</v>
      </c>
      <c r="AV3" t="s">
        <v>103</v>
      </c>
      <c r="AW3" t="s">
        <v>111</v>
      </c>
      <c r="AX3" t="s">
        <v>112</v>
      </c>
      <c r="AY3" t="s">
        <v>143</v>
      </c>
      <c r="AZ3" t="s">
        <v>121</v>
      </c>
      <c r="BA3" t="s">
        <v>133</v>
      </c>
      <c r="BB3" t="s">
        <v>131</v>
      </c>
      <c r="BC3" t="s">
        <v>120</v>
      </c>
      <c r="BD3" t="s">
        <v>136</v>
      </c>
      <c r="BE3" t="s">
        <v>142</v>
      </c>
      <c r="BF3" t="s">
        <v>141</v>
      </c>
      <c r="BG3" t="s">
        <v>138</v>
      </c>
      <c r="BH3" t="s">
        <v>124</v>
      </c>
      <c r="BI3" t="s">
        <v>140</v>
      </c>
      <c r="BJ3" t="s">
        <v>129</v>
      </c>
      <c r="BK3" t="s">
        <v>134</v>
      </c>
      <c r="BL3" t="s">
        <v>128</v>
      </c>
      <c r="BM3" t="s">
        <v>126</v>
      </c>
      <c r="BN3" t="s">
        <v>132</v>
      </c>
      <c r="BO3" t="s">
        <v>122</v>
      </c>
      <c r="BP3" t="s">
        <v>139</v>
      </c>
      <c r="BQ3" t="s">
        <v>137</v>
      </c>
      <c r="BR3" t="s">
        <v>145</v>
      </c>
      <c r="BS3" t="s">
        <v>119</v>
      </c>
      <c r="BT3" t="s">
        <v>125</v>
      </c>
    </row>
    <row r="4" ht="15" customHeight="1" spans="1:72" x14ac:dyDescent="0.25">
      <c r="A4" t="s">
        <v>17</v>
      </c>
      <c r="B4" t="s">
        <v>14</v>
      </c>
      <c r="C4" t="s">
        <v>41</v>
      </c>
      <c r="D4" t="s">
        <v>5</v>
      </c>
      <c r="E4" t="s">
        <v>46</v>
      </c>
      <c r="F4" t="s">
        <v>21</v>
      </c>
      <c r="G4" t="s">
        <v>24</v>
      </c>
      <c r="H4" t="s">
        <v>49</v>
      </c>
      <c r="I4" t="s">
        <v>49</v>
      </c>
      <c r="J4" t="s">
        <v>56</v>
      </c>
      <c r="K4" t="s">
        <v>6</v>
      </c>
      <c r="L4" t="s">
        <v>5</v>
      </c>
      <c r="M4" t="s">
        <v>47</v>
      </c>
      <c r="N4" t="s">
        <v>56</v>
      </c>
      <c r="O4" t="s">
        <v>47</v>
      </c>
      <c r="P4" t="s">
        <v>49</v>
      </c>
      <c r="Q4" t="s">
        <v>5</v>
      </c>
      <c r="R4" t="s">
        <v>46</v>
      </c>
      <c r="S4" t="s">
        <v>17</v>
      </c>
      <c r="T4" t="s">
        <v>58</v>
      </c>
      <c r="U4" t="s">
        <v>21</v>
      </c>
      <c r="V4" t="s">
        <v>68</v>
      </c>
      <c r="W4" t="s">
        <v>47</v>
      </c>
      <c r="X4" t="s">
        <v>58</v>
      </c>
      <c r="Y4" t="s">
        <v>36</v>
      </c>
      <c r="Z4" t="s">
        <v>11</v>
      </c>
      <c r="AA4" t="s">
        <v>31</v>
      </c>
      <c r="AB4" t="s">
        <v>45</v>
      </c>
      <c r="AC4" t="s">
        <v>14</v>
      </c>
      <c r="AD4" t="s">
        <v>58</v>
      </c>
      <c r="AE4" t="s">
        <v>31</v>
      </c>
      <c r="AF4" t="s">
        <v>39</v>
      </c>
      <c r="AG4" t="s">
        <v>56</v>
      </c>
      <c r="AH4" t="s">
        <v>56</v>
      </c>
      <c r="AI4" t="s">
        <v>41</v>
      </c>
      <c r="AJ4" t="s">
        <v>17</v>
      </c>
      <c r="AK4" t="s">
        <v>68</v>
      </c>
      <c r="AL4" t="s">
        <v>17</v>
      </c>
      <c r="AM4" t="s">
        <v>58</v>
      </c>
      <c r="AN4" t="s">
        <v>68</v>
      </c>
      <c r="AO4" t="s">
        <v>24</v>
      </c>
      <c r="AP4" t="s">
        <v>14</v>
      </c>
      <c r="AQ4" t="s">
        <v>11</v>
      </c>
      <c r="AR4" t="s">
        <v>71</v>
      </c>
      <c r="AS4" t="s">
        <v>5</v>
      </c>
      <c r="AT4" t="s">
        <v>58</v>
      </c>
      <c r="AU4" t="s">
        <v>17</v>
      </c>
      <c r="AV4" t="s">
        <v>21</v>
      </c>
      <c r="AW4" t="s">
        <v>11</v>
      </c>
      <c r="AX4" t="s">
        <v>5</v>
      </c>
      <c r="AY4" t="s">
        <v>56</v>
      </c>
      <c r="AZ4" t="s">
        <v>68</v>
      </c>
      <c r="BA4" t="s">
        <v>56</v>
      </c>
      <c r="BB4" t="s">
        <v>17</v>
      </c>
      <c r="BC4" t="s">
        <v>11</v>
      </c>
      <c r="BD4" t="s">
        <v>47</v>
      </c>
      <c r="BE4" t="s">
        <v>31</v>
      </c>
      <c r="BF4" t="s">
        <v>5</v>
      </c>
      <c r="BG4" t="s">
        <v>6</v>
      </c>
      <c r="BH4" t="s">
        <v>71</v>
      </c>
      <c r="BI4" t="s">
        <v>56</v>
      </c>
      <c r="BJ4" t="s">
        <v>71</v>
      </c>
      <c r="BK4" t="s">
        <v>38</v>
      </c>
      <c r="BL4" t="s">
        <v>44</v>
      </c>
      <c r="BM4" t="s">
        <v>4</v>
      </c>
      <c r="BN4" t="s">
        <v>14</v>
      </c>
      <c r="BO4" t="s">
        <v>5</v>
      </c>
      <c r="BP4" t="s">
        <v>9</v>
      </c>
      <c r="BQ4" t="s">
        <v>21</v>
      </c>
      <c r="BR4" t="s">
        <v>18</v>
      </c>
      <c r="BS4" t="s">
        <v>58</v>
      </c>
      <c r="BT4" t="s">
        <v>58</v>
      </c>
    </row>
    <row r="5" ht="15" customHeight="1" spans="1:72" x14ac:dyDescent="0.25">
      <c r="A5" t="s">
        <v>18</v>
      </c>
      <c r="B5" t="s">
        <v>29</v>
      </c>
      <c r="C5" t="s">
        <v>50</v>
      </c>
      <c r="D5" t="s">
        <v>6</v>
      </c>
      <c r="E5" t="s">
        <v>50</v>
      </c>
      <c r="F5" t="s">
        <v>24</v>
      </c>
      <c r="G5" t="s">
        <v>18</v>
      </c>
      <c r="H5" t="s">
        <v>45</v>
      </c>
      <c r="I5" t="s">
        <v>29</v>
      </c>
      <c r="J5" t="s">
        <v>45</v>
      </c>
      <c r="K5" t="s">
        <v>46</v>
      </c>
      <c r="L5" t="s">
        <v>63</v>
      </c>
      <c r="M5" t="s">
        <v>29</v>
      </c>
      <c r="N5" t="s">
        <v>41</v>
      </c>
      <c r="O5" t="s">
        <v>26</v>
      </c>
      <c r="P5" t="s">
        <v>54</v>
      </c>
      <c r="Q5" t="s">
        <v>17</v>
      </c>
      <c r="R5" t="s">
        <v>49</v>
      </c>
      <c r="S5" t="s">
        <v>63</v>
      </c>
      <c r="T5" t="s">
        <v>67</v>
      </c>
      <c r="U5" t="s">
        <v>9</v>
      </c>
      <c r="V5" t="s">
        <v>41</v>
      </c>
      <c r="W5" t="s">
        <v>54</v>
      </c>
      <c r="X5" t="s">
        <v>63</v>
      </c>
      <c r="Y5" t="s">
        <v>26</v>
      </c>
      <c r="Z5" t="s">
        <v>4</v>
      </c>
      <c r="AA5" t="s">
        <v>33</v>
      </c>
      <c r="AB5" t="s">
        <v>50</v>
      </c>
      <c r="AC5" t="s">
        <v>29</v>
      </c>
      <c r="AD5" t="s">
        <v>4</v>
      </c>
      <c r="AE5" t="s">
        <v>18</v>
      </c>
      <c r="AF5" t="s">
        <v>29</v>
      </c>
      <c r="AG5" t="s">
        <v>44</v>
      </c>
      <c r="AH5" t="s">
        <v>49</v>
      </c>
      <c r="AI5" t="s">
        <v>38</v>
      </c>
      <c r="AJ5" t="s">
        <v>21</v>
      </c>
      <c r="AK5" t="s">
        <v>63</v>
      </c>
      <c r="AL5" t="s">
        <v>21</v>
      </c>
      <c r="AM5" t="s">
        <v>46</v>
      </c>
      <c r="AN5" t="s">
        <v>46</v>
      </c>
      <c r="AO5" t="s">
        <v>18</v>
      </c>
      <c r="AP5" t="s">
        <v>29</v>
      </c>
      <c r="AQ5" t="s">
        <v>34</v>
      </c>
      <c r="AR5" t="s">
        <v>46</v>
      </c>
      <c r="AS5" t="s">
        <v>71</v>
      </c>
      <c r="AT5" t="s">
        <v>70</v>
      </c>
      <c r="AU5" t="s">
        <v>24</v>
      </c>
      <c r="AV5" t="s">
        <v>36</v>
      </c>
      <c r="AW5" t="s">
        <v>72</v>
      </c>
      <c r="AX5" t="s">
        <v>47</v>
      </c>
      <c r="AY5" t="s">
        <v>47</v>
      </c>
      <c r="AZ5" t="s">
        <v>50</v>
      </c>
      <c r="BA5" t="s">
        <v>50</v>
      </c>
      <c r="BB5" t="s">
        <v>4</v>
      </c>
      <c r="BC5" t="s">
        <v>47</v>
      </c>
      <c r="BD5" t="s">
        <v>50</v>
      </c>
      <c r="BE5" t="s">
        <v>44</v>
      </c>
      <c r="BF5" t="s">
        <v>46</v>
      </c>
      <c r="BG5" t="s">
        <v>18</v>
      </c>
      <c r="BH5" t="s">
        <v>54</v>
      </c>
      <c r="BI5" t="s">
        <v>44</v>
      </c>
      <c r="BJ5" t="s">
        <v>70</v>
      </c>
      <c r="BK5" t="s">
        <v>24</v>
      </c>
      <c r="BL5" t="s">
        <v>49</v>
      </c>
      <c r="BM5" t="s">
        <v>54</v>
      </c>
      <c r="BN5" t="s">
        <v>4</v>
      </c>
      <c r="BO5" t="s">
        <v>39</v>
      </c>
      <c r="BP5" t="s">
        <v>54</v>
      </c>
      <c r="BQ5" t="s">
        <v>71</v>
      </c>
      <c r="BR5" t="s">
        <v>29</v>
      </c>
      <c r="BS5" t="s">
        <v>4</v>
      </c>
      <c r="BT5" t="s">
        <v>63</v>
      </c>
    </row>
    <row r="6" ht="15" customHeight="1" spans="1:72" x14ac:dyDescent="0.25">
      <c r="A6" t="s">
        <v>19</v>
      </c>
      <c r="B6" t="s">
        <v>32</v>
      </c>
      <c r="C6" t="s">
        <v>51</v>
      </c>
      <c r="D6" t="s">
        <v>7</v>
      </c>
      <c r="E6" t="s">
        <v>51</v>
      </c>
      <c r="F6" t="s">
        <v>20</v>
      </c>
      <c r="G6" t="s">
        <v>28</v>
      </c>
      <c r="H6" t="s">
        <v>59</v>
      </c>
      <c r="I6" t="s">
        <v>32</v>
      </c>
      <c r="J6" t="s">
        <v>66</v>
      </c>
      <c r="K6" t="s">
        <v>10</v>
      </c>
      <c r="L6" t="s">
        <v>52</v>
      </c>
      <c r="M6" t="s">
        <v>30</v>
      </c>
      <c r="N6" t="s">
        <v>57</v>
      </c>
      <c r="O6" t="s">
        <v>55</v>
      </c>
      <c r="P6" t="s">
        <v>53</v>
      </c>
      <c r="Q6" t="s">
        <v>40</v>
      </c>
      <c r="R6" t="s">
        <v>65</v>
      </c>
      <c r="S6" t="s">
        <v>22</v>
      </c>
      <c r="T6" t="s">
        <v>25</v>
      </c>
      <c r="U6" t="s">
        <v>23</v>
      </c>
      <c r="V6" t="s">
        <v>69</v>
      </c>
      <c r="W6" t="s">
        <v>42</v>
      </c>
      <c r="X6" t="s">
        <v>51</v>
      </c>
      <c r="Y6" t="s">
        <v>57</v>
      </c>
      <c r="Z6" t="s">
        <v>13</v>
      </c>
      <c r="AA6" t="s">
        <v>37</v>
      </c>
      <c r="AB6" t="s">
        <v>52</v>
      </c>
      <c r="AC6" t="s">
        <v>40</v>
      </c>
      <c r="AD6" t="s">
        <v>7</v>
      </c>
      <c r="AE6" t="s">
        <v>32</v>
      </c>
      <c r="AF6" t="s">
        <v>22</v>
      </c>
      <c r="AG6" t="s">
        <v>57</v>
      </c>
      <c r="AH6" t="s">
        <v>66</v>
      </c>
      <c r="AI6" t="s">
        <v>40</v>
      </c>
      <c r="AJ6" t="s">
        <v>57</v>
      </c>
      <c r="AK6" t="s">
        <v>69</v>
      </c>
      <c r="AL6" t="s">
        <v>53</v>
      </c>
      <c r="AM6" t="s">
        <v>52</v>
      </c>
      <c r="AN6" t="s">
        <v>69</v>
      </c>
      <c r="AO6" t="s">
        <v>35</v>
      </c>
      <c r="AP6" t="s">
        <v>40</v>
      </c>
      <c r="AQ6" t="s">
        <v>7</v>
      </c>
      <c r="AR6" t="s">
        <v>65</v>
      </c>
      <c r="AS6" t="s">
        <v>8</v>
      </c>
      <c r="AT6" t="s">
        <v>19</v>
      </c>
      <c r="AU6" t="s">
        <v>22</v>
      </c>
      <c r="AV6" t="s">
        <v>32</v>
      </c>
      <c r="AW6" t="s">
        <v>7</v>
      </c>
      <c r="AX6" t="s">
        <v>69</v>
      </c>
      <c r="AY6" t="s">
        <v>55</v>
      </c>
      <c r="AZ6" t="s">
        <v>69</v>
      </c>
      <c r="BA6" t="s">
        <v>42</v>
      </c>
      <c r="BB6" t="s">
        <v>7</v>
      </c>
      <c r="BC6" t="s">
        <v>7</v>
      </c>
      <c r="BD6" t="s">
        <v>52</v>
      </c>
      <c r="BE6" t="s">
        <v>22</v>
      </c>
      <c r="BF6" t="s">
        <v>8</v>
      </c>
      <c r="BG6" t="s">
        <v>7</v>
      </c>
      <c r="BH6" t="s">
        <v>59</v>
      </c>
      <c r="BI6" t="s">
        <v>66</v>
      </c>
      <c r="BJ6" t="s">
        <v>65</v>
      </c>
      <c r="BK6" t="s">
        <v>35</v>
      </c>
      <c r="BL6" t="s">
        <v>53</v>
      </c>
      <c r="BM6" t="s">
        <v>13</v>
      </c>
      <c r="BN6" t="s">
        <v>15</v>
      </c>
      <c r="BO6" t="s">
        <v>7</v>
      </c>
      <c r="BP6" t="s">
        <v>13</v>
      </c>
      <c r="BQ6" t="s">
        <v>20</v>
      </c>
      <c r="BR6" t="s">
        <v>19</v>
      </c>
      <c r="BS6" t="s">
        <v>8</v>
      </c>
      <c r="BT6" t="s">
        <v>62</v>
      </c>
    </row>
    <row r="7" ht="15" customHeight="1" spans="1:72" x14ac:dyDescent="0.25">
      <c r="A7" t="s">
        <v>20</v>
      </c>
      <c r="B7" t="s">
        <v>30</v>
      </c>
      <c r="C7" t="s">
        <v>52</v>
      </c>
      <c r="D7" t="s">
        <v>8</v>
      </c>
      <c r="E7" t="s">
        <v>52</v>
      </c>
      <c r="F7" t="s">
        <v>25</v>
      </c>
      <c r="G7" t="s">
        <v>25</v>
      </c>
      <c r="H7" t="s">
        <v>60</v>
      </c>
      <c r="I7" t="s">
        <v>53</v>
      </c>
      <c r="J7" t="s">
        <v>59</v>
      </c>
      <c r="K7" t="s">
        <v>42</v>
      </c>
      <c r="L7" t="s">
        <v>53</v>
      </c>
      <c r="M7" t="s">
        <v>43</v>
      </c>
      <c r="N7" t="s">
        <v>19</v>
      </c>
      <c r="O7" t="s">
        <v>43</v>
      </c>
      <c r="P7" t="s">
        <v>42</v>
      </c>
      <c r="Q7" t="s">
        <v>8</v>
      </c>
      <c r="R7" t="s">
        <v>55</v>
      </c>
      <c r="S7" t="s">
        <v>51</v>
      </c>
      <c r="T7" t="s">
        <v>48</v>
      </c>
      <c r="U7" t="s">
        <v>12</v>
      </c>
      <c r="V7" t="s">
        <v>52</v>
      </c>
      <c r="W7" t="s">
        <v>43</v>
      </c>
      <c r="X7" t="s">
        <v>52</v>
      </c>
      <c r="Y7" t="s">
        <v>66</v>
      </c>
      <c r="Z7" t="s">
        <v>10</v>
      </c>
      <c r="AA7" t="s">
        <v>30</v>
      </c>
      <c r="AB7" t="s">
        <v>62</v>
      </c>
      <c r="AC7" t="s">
        <v>15</v>
      </c>
      <c r="AD7" t="s">
        <v>42</v>
      </c>
      <c r="AE7" t="s">
        <v>35</v>
      </c>
      <c r="AF7" t="s">
        <v>20</v>
      </c>
      <c r="AG7" t="s">
        <v>53</v>
      </c>
      <c r="AH7" t="s">
        <v>59</v>
      </c>
      <c r="AI7" t="s">
        <v>60</v>
      </c>
      <c r="AJ7" t="s">
        <v>66</v>
      </c>
      <c r="AK7" t="s">
        <v>43</v>
      </c>
      <c r="AL7" t="s">
        <v>59</v>
      </c>
      <c r="AM7" t="s">
        <v>60</v>
      </c>
      <c r="AN7" t="s">
        <v>62</v>
      </c>
      <c r="AO7" t="s">
        <v>23</v>
      </c>
      <c r="AP7" t="s">
        <v>15</v>
      </c>
      <c r="AQ7" t="s">
        <v>25</v>
      </c>
      <c r="AR7" t="s">
        <v>48</v>
      </c>
      <c r="AS7" t="s">
        <v>65</v>
      </c>
      <c r="AT7" t="s">
        <v>65</v>
      </c>
      <c r="AU7" t="s">
        <v>62</v>
      </c>
      <c r="AV7" t="s">
        <v>22</v>
      </c>
      <c r="AW7" t="s">
        <v>13</v>
      </c>
      <c r="AX7" t="s">
        <v>55</v>
      </c>
      <c r="AY7" t="s">
        <v>43</v>
      </c>
      <c r="AZ7" t="s">
        <v>53</v>
      </c>
      <c r="BA7" t="s">
        <v>48</v>
      </c>
      <c r="BB7" t="s">
        <v>25</v>
      </c>
      <c r="BC7" t="s">
        <v>15</v>
      </c>
      <c r="BD7" t="s">
        <v>43</v>
      </c>
      <c r="BE7" t="s">
        <v>57</v>
      </c>
      <c r="BF7" t="s">
        <v>48</v>
      </c>
      <c r="BG7" t="s">
        <v>40</v>
      </c>
      <c r="BH7" t="s">
        <v>60</v>
      </c>
      <c r="BI7" t="s">
        <v>55</v>
      </c>
      <c r="BJ7" t="s">
        <v>61</v>
      </c>
      <c r="BK7" t="s">
        <v>55</v>
      </c>
      <c r="BL7" t="s">
        <v>60</v>
      </c>
      <c r="BM7" t="s">
        <v>43</v>
      </c>
      <c r="BN7" t="s">
        <v>8</v>
      </c>
      <c r="BO7" t="s">
        <v>22</v>
      </c>
      <c r="BP7" t="s">
        <v>42</v>
      </c>
      <c r="BQ7" t="s">
        <v>65</v>
      </c>
      <c r="BR7" t="s">
        <v>66</v>
      </c>
      <c r="BS7" t="s">
        <v>48</v>
      </c>
      <c r="BT7" t="s">
        <v>48</v>
      </c>
    </row>
    <row r="8" ht="15" customHeight="1" spans="1:72" x14ac:dyDescent="0.25">
      <c r="A8" t="s">
        <v>21</v>
      </c>
      <c r="D8" t="s">
        <v>146</v>
      </c>
      <c r="F8" t="s">
        <v>9</v>
      </c>
      <c r="G8" t="s">
        <v>11</v>
      </c>
      <c r="H8" t="s">
        <v>56</v>
      </c>
      <c r="K8" t="s">
        <v>41</v>
      </c>
      <c r="L8" t="s">
        <v>14</v>
      </c>
      <c r="N8" t="s">
        <v>58</v>
      </c>
      <c r="P8" t="s">
        <v>16</v>
      </c>
      <c r="R8" t="s">
        <v>146</v>
      </c>
      <c r="T8" t="s">
        <v>4</v>
      </c>
      <c r="U8" t="s">
        <v>39</v>
      </c>
      <c r="V8" t="s">
        <v>44</v>
      </c>
      <c r="W8" t="s">
        <v>29</v>
      </c>
      <c r="Y8" t="s">
        <v>46</v>
      </c>
      <c r="Z8" t="s">
        <v>18</v>
      </c>
      <c r="AB8" t="s">
        <v>58</v>
      </c>
      <c r="AD8" t="s">
        <v>39</v>
      </c>
      <c r="AE8" t="s">
        <v>24</v>
      </c>
      <c r="AF8" t="s">
        <v>49</v>
      </c>
      <c r="AI8" t="s">
        <v>46</v>
      </c>
      <c r="AK8" t="s">
        <v>31</v>
      </c>
      <c r="AL8" t="s">
        <v>5</v>
      </c>
      <c r="AM8" t="s">
        <v>9</v>
      </c>
      <c r="AN8" t="s">
        <v>17</v>
      </c>
      <c r="AO8" t="s">
        <v>47</v>
      </c>
      <c r="AR8" t="s">
        <v>6</v>
      </c>
      <c r="AS8" t="s">
        <v>11</v>
      </c>
      <c r="AT8" t="s">
        <v>21</v>
      </c>
      <c r="AU8" t="s">
        <v>6</v>
      </c>
      <c r="AV8" t="s">
        <v>56</v>
      </c>
      <c r="AW8" t="s">
        <v>39</v>
      </c>
      <c r="AX8" t="s">
        <v>24</v>
      </c>
      <c r="AZ8" t="s">
        <v>71</v>
      </c>
      <c r="BA8" t="s">
        <v>17</v>
      </c>
      <c r="BB8" t="s">
        <v>5</v>
      </c>
      <c r="BC8" t="s">
        <v>44</v>
      </c>
      <c r="BG8" t="s">
        <v>56</v>
      </c>
      <c r="BH8" t="s">
        <v>46</v>
      </c>
      <c r="BJ8" t="s">
        <v>58</v>
      </c>
      <c r="BK8" t="s">
        <v>56</v>
      </c>
      <c r="BM8" t="s">
        <v>36</v>
      </c>
      <c r="BN8" t="s">
        <v>41</v>
      </c>
      <c r="BO8" t="s">
        <v>68</v>
      </c>
      <c r="BQ8" t="s">
        <v>17</v>
      </c>
      <c r="BS8" t="s">
        <v>56</v>
      </c>
    </row>
    <row r="9" ht="15" customHeight="1" spans="1:71" x14ac:dyDescent="0.25">
      <c r="A9" t="s">
        <v>45</v>
      </c>
      <c r="D9" t="s">
        <v>46</v>
      </c>
      <c r="F9" t="s">
        <v>54</v>
      </c>
      <c r="G9" t="s">
        <v>4</v>
      </c>
      <c r="H9" t="s">
        <v>146</v>
      </c>
      <c r="K9" t="s">
        <v>50</v>
      </c>
      <c r="L9" t="s">
        <v>50</v>
      </c>
      <c r="N9" t="s">
        <v>46</v>
      </c>
      <c r="P9" t="s">
        <v>33</v>
      </c>
      <c r="R9" t="s">
        <v>21</v>
      </c>
      <c r="T9" t="s">
        <v>54</v>
      </c>
      <c r="U9" t="s">
        <v>56</v>
      </c>
      <c r="V9" t="s">
        <v>24</v>
      </c>
      <c r="W9" t="s">
        <v>26</v>
      </c>
      <c r="Y9" t="s">
        <v>47</v>
      </c>
      <c r="Z9" t="s">
        <v>26</v>
      </c>
      <c r="AB9" t="s">
        <v>47</v>
      </c>
      <c r="AD9" t="s">
        <v>36</v>
      </c>
      <c r="AE9" t="s">
        <v>36</v>
      </c>
      <c r="AF9" t="s">
        <v>45</v>
      </c>
      <c r="AI9" t="s">
        <v>24</v>
      </c>
      <c r="AK9" t="s">
        <v>49</v>
      </c>
      <c r="AL9" t="s">
        <v>31</v>
      </c>
      <c r="AM9" t="s">
        <v>47</v>
      </c>
      <c r="AN9" t="s">
        <v>26</v>
      </c>
      <c r="AO9" t="s">
        <v>50</v>
      </c>
      <c r="AR9" t="s">
        <v>36</v>
      </c>
      <c r="AS9" t="s">
        <v>72</v>
      </c>
      <c r="AT9" t="s">
        <v>47</v>
      </c>
      <c r="AU9" t="s">
        <v>68</v>
      </c>
      <c r="AV9" t="s">
        <v>44</v>
      </c>
      <c r="AW9" t="s">
        <v>29</v>
      </c>
      <c r="AX9" t="s">
        <v>4</v>
      </c>
      <c r="AZ9" t="s">
        <v>70</v>
      </c>
      <c r="BA9" t="s">
        <v>21</v>
      </c>
      <c r="BB9" t="s">
        <v>6</v>
      </c>
      <c r="BC9" t="s">
        <v>38</v>
      </c>
      <c r="BG9" t="s">
        <v>44</v>
      </c>
      <c r="BH9" t="s">
        <v>50</v>
      </c>
      <c r="BJ9" t="s">
        <v>6</v>
      </c>
      <c r="BK9" t="s">
        <v>45</v>
      </c>
      <c r="BM9" t="s">
        <v>29</v>
      </c>
      <c r="BN9" t="s">
        <v>49</v>
      </c>
      <c r="BO9" t="s">
        <v>50</v>
      </c>
      <c r="BQ9" t="s">
        <v>31</v>
      </c>
      <c r="BS9" t="s">
        <v>45</v>
      </c>
    </row>
    <row r="10" ht="15" customHeight="1" spans="1:71" x14ac:dyDescent="0.25">
      <c r="A10" t="s">
        <v>22</v>
      </c>
      <c r="D10" t="s">
        <v>55</v>
      </c>
      <c r="F10" t="s">
        <v>51</v>
      </c>
      <c r="G10" t="s">
        <v>12</v>
      </c>
      <c r="H10" t="s">
        <v>57</v>
      </c>
      <c r="K10" t="s">
        <v>51</v>
      </c>
      <c r="L10" t="s">
        <v>15</v>
      </c>
      <c r="N10" t="s">
        <v>53</v>
      </c>
      <c r="P10" t="s">
        <v>40</v>
      </c>
      <c r="R10" t="s">
        <v>57</v>
      </c>
      <c r="T10" t="s">
        <v>7</v>
      </c>
      <c r="U10" t="s">
        <v>35</v>
      </c>
      <c r="V10" t="s">
        <v>28</v>
      </c>
      <c r="W10" t="s">
        <v>22</v>
      </c>
      <c r="Y10" t="s">
        <v>12</v>
      </c>
      <c r="Z10" t="s">
        <v>35</v>
      </c>
      <c r="AB10" t="s">
        <v>48</v>
      </c>
      <c r="AD10" t="s">
        <v>37</v>
      </c>
      <c r="AE10" t="s">
        <v>52</v>
      </c>
      <c r="AF10" t="s">
        <v>69</v>
      </c>
      <c r="AI10" t="s">
        <v>28</v>
      </c>
      <c r="AK10" t="s">
        <v>22</v>
      </c>
      <c r="AL10" t="s">
        <v>13</v>
      </c>
      <c r="AM10" t="s">
        <v>8</v>
      </c>
      <c r="AN10" t="s">
        <v>19</v>
      </c>
      <c r="AO10" t="s">
        <v>51</v>
      </c>
      <c r="AR10" t="s">
        <v>32</v>
      </c>
      <c r="AS10" t="s">
        <v>12</v>
      </c>
      <c r="AT10" t="s">
        <v>69</v>
      </c>
      <c r="AU10" t="s">
        <v>51</v>
      </c>
      <c r="AV10" t="s">
        <v>57</v>
      </c>
      <c r="AW10" t="s">
        <v>19</v>
      </c>
      <c r="AX10" t="s">
        <v>22</v>
      </c>
      <c r="AZ10" t="s">
        <v>59</v>
      </c>
      <c r="BA10" t="s">
        <v>23</v>
      </c>
      <c r="BB10" t="s">
        <v>13</v>
      </c>
      <c r="BC10" t="s">
        <v>35</v>
      </c>
      <c r="BG10" t="s">
        <v>66</v>
      </c>
      <c r="BH10" t="s">
        <v>12</v>
      </c>
      <c r="BJ10" t="s">
        <v>69</v>
      </c>
      <c r="BK10" t="s">
        <v>66</v>
      </c>
      <c r="BM10" t="s">
        <v>22</v>
      </c>
      <c r="BN10" t="s">
        <v>32</v>
      </c>
      <c r="BO10" t="s">
        <v>52</v>
      </c>
      <c r="BQ10" t="s">
        <v>32</v>
      </c>
      <c r="BS10" t="s">
        <v>59</v>
      </c>
    </row>
    <row r="11" ht="15" customHeight="1" spans="1:71" x14ac:dyDescent="0.25">
      <c r="A11" t="s">
        <v>23</v>
      </c>
      <c r="D11" t="s">
        <v>42</v>
      </c>
      <c r="F11" t="s">
        <v>10</v>
      </c>
      <c r="G11" t="s">
        <v>53</v>
      </c>
      <c r="H11" t="s">
        <v>55</v>
      </c>
      <c r="K11" t="s">
        <v>61</v>
      </c>
      <c r="L11" t="s">
        <v>48</v>
      </c>
      <c r="N11" t="s">
        <v>59</v>
      </c>
      <c r="P11" t="s">
        <v>19</v>
      </c>
      <c r="R11" t="s">
        <v>28</v>
      </c>
      <c r="T11" t="s">
        <v>42</v>
      </c>
      <c r="U11" t="s">
        <v>66</v>
      </c>
      <c r="V11" t="s">
        <v>55</v>
      </c>
      <c r="W11" t="s">
        <v>37</v>
      </c>
      <c r="Y11" t="s">
        <v>48</v>
      </c>
      <c r="Z11" t="s">
        <v>37</v>
      </c>
      <c r="AB11" t="s">
        <v>43</v>
      </c>
      <c r="AD11" t="s">
        <v>30</v>
      </c>
      <c r="AE11" t="s">
        <v>48</v>
      </c>
      <c r="AF11" t="s">
        <v>66</v>
      </c>
      <c r="AI11" t="s">
        <v>61</v>
      </c>
      <c r="AK11" t="s">
        <v>55</v>
      </c>
      <c r="AL11" t="s">
        <v>37</v>
      </c>
      <c r="AM11" t="s">
        <v>42</v>
      </c>
      <c r="AN11" t="s">
        <v>37</v>
      </c>
      <c r="AO11" t="s">
        <v>52</v>
      </c>
      <c r="AR11" t="s">
        <v>7</v>
      </c>
      <c r="AS11" t="s">
        <v>42</v>
      </c>
      <c r="AT11" t="s">
        <v>43</v>
      </c>
      <c r="AU11" t="s">
        <v>42</v>
      </c>
      <c r="AV11" t="s">
        <v>66</v>
      </c>
      <c r="AW11" t="s">
        <v>37</v>
      </c>
      <c r="AX11" t="s">
        <v>12</v>
      </c>
      <c r="AZ11" t="s">
        <v>60</v>
      </c>
      <c r="BA11" t="s">
        <v>25</v>
      </c>
      <c r="BB11" t="s">
        <v>8</v>
      </c>
      <c r="BC11" t="s">
        <v>53</v>
      </c>
      <c r="BG11" t="s">
        <v>55</v>
      </c>
      <c r="BH11" t="s">
        <v>51</v>
      </c>
      <c r="BJ11" t="s">
        <v>43</v>
      </c>
      <c r="BK11" t="s">
        <v>25</v>
      </c>
      <c r="BM11" t="s">
        <v>20</v>
      </c>
      <c r="BN11" t="s">
        <v>53</v>
      </c>
      <c r="BO11" t="s">
        <v>62</v>
      </c>
      <c r="BQ11" t="s">
        <v>37</v>
      </c>
      <c r="BS11" t="s">
        <v>55</v>
      </c>
    </row>
    <row r="12" ht="15" customHeight="1" spans="1:71" x14ac:dyDescent="0.25">
      <c r="A12" t="s">
        <v>47</v>
      </c>
      <c r="D12" t="s">
        <v>33</v>
      </c>
      <c r="F12" t="s">
        <v>5</v>
      </c>
      <c r="G12" t="s">
        <v>14</v>
      </c>
      <c r="H12" t="s">
        <v>36</v>
      </c>
      <c r="K12" t="s">
        <v>33</v>
      </c>
      <c r="L12" t="s">
        <v>17</v>
      </c>
      <c r="N12" t="s">
        <v>34</v>
      </c>
      <c r="P12" t="s">
        <v>146</v>
      </c>
      <c r="T12" t="s">
        <v>14</v>
      </c>
      <c r="V12" t="s">
        <v>47</v>
      </c>
      <c r="W12" t="s">
        <v>5</v>
      </c>
      <c r="Y12" t="s">
        <v>6</v>
      </c>
      <c r="Z12" t="s">
        <v>70</v>
      </c>
      <c r="AB12" t="s">
        <v>24</v>
      </c>
      <c r="AD12" t="s">
        <v>50</v>
      </c>
      <c r="AE12" t="s">
        <v>11</v>
      </c>
      <c r="AI12" t="s">
        <v>6</v>
      </c>
      <c r="AK12" t="s">
        <v>6</v>
      </c>
      <c r="AM12" t="s">
        <v>39</v>
      </c>
      <c r="AN12" t="s">
        <v>5</v>
      </c>
      <c r="AO12" t="s">
        <v>31</v>
      </c>
      <c r="AS12" t="s">
        <v>4</v>
      </c>
      <c r="AT12" t="s">
        <v>31</v>
      </c>
      <c r="AU12" t="s">
        <v>21</v>
      </c>
      <c r="AV12" t="s">
        <v>5</v>
      </c>
      <c r="AW12" t="s">
        <v>21</v>
      </c>
      <c r="AX12" t="s">
        <v>14</v>
      </c>
      <c r="AZ12" t="s">
        <v>39</v>
      </c>
      <c r="BA12" t="s">
        <v>39</v>
      </c>
      <c r="BB12" t="s">
        <v>46</v>
      </c>
      <c r="BC12" t="s">
        <v>18</v>
      </c>
      <c r="BG12" t="s">
        <v>68</v>
      </c>
      <c r="BJ12" t="s">
        <v>39</v>
      </c>
      <c r="BK12" t="s">
        <v>68</v>
      </c>
      <c r="BM12" t="s">
        <v>33</v>
      </c>
      <c r="BN12" t="s">
        <v>11</v>
      </c>
      <c r="BO12" t="s">
        <v>41</v>
      </c>
      <c r="BS12" t="s">
        <v>44</v>
      </c>
    </row>
    <row r="13" ht="15" customHeight="1" spans="1:71" x14ac:dyDescent="0.25">
      <c r="A13" t="s">
        <v>54</v>
      </c>
      <c r="D13" t="s">
        <v>34</v>
      </c>
      <c r="F13" t="s">
        <v>11</v>
      </c>
      <c r="G13" t="s">
        <v>54</v>
      </c>
      <c r="H13" t="s">
        <v>33</v>
      </c>
      <c r="K13" t="s">
        <v>18</v>
      </c>
      <c r="L13" t="s">
        <v>24</v>
      </c>
      <c r="N13" t="s">
        <v>18</v>
      </c>
      <c r="P13" t="s">
        <v>24</v>
      </c>
      <c r="T13" t="s">
        <v>36</v>
      </c>
      <c r="V13" t="s">
        <v>50</v>
      </c>
      <c r="W13" t="s">
        <v>70</v>
      </c>
      <c r="Y13" t="s">
        <v>41</v>
      </c>
      <c r="Z13" t="s">
        <v>45</v>
      </c>
      <c r="AB13" t="s">
        <v>49</v>
      </c>
      <c r="AD13" t="s">
        <v>54</v>
      </c>
      <c r="AE13" t="s">
        <v>47</v>
      </c>
      <c r="AI13" t="s">
        <v>4</v>
      </c>
      <c r="AK13" t="s">
        <v>9</v>
      </c>
      <c r="AM13" t="s">
        <v>29</v>
      </c>
      <c r="AN13" t="s">
        <v>14</v>
      </c>
      <c r="AO13" t="s">
        <v>41</v>
      </c>
      <c r="AS13" t="s">
        <v>63</v>
      </c>
      <c r="AT13" t="s">
        <v>38</v>
      </c>
      <c r="AU13" t="s">
        <v>29</v>
      </c>
      <c r="AV13" t="s">
        <v>24</v>
      </c>
      <c r="AW13" t="s">
        <v>26</v>
      </c>
      <c r="AX13" t="s">
        <v>63</v>
      </c>
      <c r="AZ13" t="s">
        <v>49</v>
      </c>
      <c r="BA13" t="s">
        <v>31</v>
      </c>
      <c r="BB13" t="s">
        <v>14</v>
      </c>
      <c r="BC13" t="s">
        <v>29</v>
      </c>
      <c r="BG13" t="s">
        <v>9</v>
      </c>
      <c r="BJ13" t="s">
        <v>26</v>
      </c>
      <c r="BK13" t="s">
        <v>14</v>
      </c>
      <c r="BM13" t="s">
        <v>34</v>
      </c>
      <c r="BN13" t="s">
        <v>54</v>
      </c>
      <c r="BO13" t="s">
        <v>47</v>
      </c>
      <c r="BS13" t="s">
        <v>49</v>
      </c>
    </row>
    <row r="14" ht="15" customHeight="1" spans="1:71" x14ac:dyDescent="0.25">
      <c r="A14" t="s">
        <v>48</v>
      </c>
      <c r="D14" t="s">
        <v>22</v>
      </c>
      <c r="F14" t="s">
        <v>7</v>
      </c>
      <c r="G14" t="s">
        <v>15</v>
      </c>
      <c r="H14" t="s">
        <v>35</v>
      </c>
      <c r="K14" t="s">
        <v>22</v>
      </c>
      <c r="L14" t="s">
        <v>28</v>
      </c>
      <c r="N14" t="s">
        <v>23</v>
      </c>
      <c r="P14" t="s">
        <v>32</v>
      </c>
      <c r="T14" t="s">
        <v>20</v>
      </c>
      <c r="V14" t="s">
        <v>51</v>
      </c>
      <c r="W14" t="s">
        <v>10</v>
      </c>
      <c r="Y14" t="s">
        <v>59</v>
      </c>
      <c r="Z14" t="s">
        <v>57</v>
      </c>
      <c r="AB14" t="s">
        <v>57</v>
      </c>
      <c r="AD14" t="s">
        <v>52</v>
      </c>
      <c r="AE14" t="s">
        <v>8</v>
      </c>
      <c r="AI14" t="s">
        <v>12</v>
      </c>
      <c r="AK14" t="s">
        <v>20</v>
      </c>
      <c r="AM14" t="s">
        <v>22</v>
      </c>
      <c r="AN14" t="s">
        <v>15</v>
      </c>
      <c r="AO14" t="s">
        <v>69</v>
      </c>
      <c r="AS14" t="s">
        <v>52</v>
      </c>
      <c r="AT14" t="s">
        <v>37</v>
      </c>
      <c r="AU14" t="s">
        <v>32</v>
      </c>
      <c r="AV14" t="s">
        <v>40</v>
      </c>
      <c r="AW14" t="s">
        <v>23</v>
      </c>
      <c r="AX14" t="s">
        <v>15</v>
      </c>
      <c r="AZ14" t="s">
        <v>19</v>
      </c>
      <c r="BA14" t="s">
        <v>32</v>
      </c>
      <c r="BB14" t="s">
        <v>15</v>
      </c>
      <c r="BC14" t="s">
        <v>19</v>
      </c>
      <c r="BG14" t="s">
        <v>52</v>
      </c>
      <c r="BJ14" t="s">
        <v>23</v>
      </c>
      <c r="BK14" t="s">
        <v>15</v>
      </c>
      <c r="BM14" t="s">
        <v>19</v>
      </c>
      <c r="BN14" t="s">
        <v>13</v>
      </c>
      <c r="BO14" t="s">
        <v>57</v>
      </c>
      <c r="BS14" t="s">
        <v>69</v>
      </c>
    </row>
    <row r="15" ht="15" customHeight="1" spans="1:71" x14ac:dyDescent="0.25">
      <c r="A15" t="s">
        <v>43</v>
      </c>
      <c r="D15" t="s">
        <v>20</v>
      </c>
      <c r="F15" t="s">
        <v>8</v>
      </c>
      <c r="G15" t="s">
        <v>42</v>
      </c>
      <c r="H15" t="s">
        <v>23</v>
      </c>
      <c r="K15" t="s">
        <v>35</v>
      </c>
      <c r="L15" t="s">
        <v>25</v>
      </c>
      <c r="N15" t="s">
        <v>20</v>
      </c>
      <c r="P15" t="s">
        <v>55</v>
      </c>
      <c r="T15" t="s">
        <v>15</v>
      </c>
      <c r="V15" t="s">
        <v>43</v>
      </c>
      <c r="W15" t="s">
        <v>61</v>
      </c>
      <c r="Y15" t="s">
        <v>60</v>
      </c>
      <c r="Z15" t="s">
        <v>53</v>
      </c>
      <c r="AB15" t="s">
        <v>28</v>
      </c>
      <c r="AD15" t="s">
        <v>43</v>
      </c>
      <c r="AE15" t="s">
        <v>42</v>
      </c>
      <c r="AI15" t="s">
        <v>8</v>
      </c>
      <c r="AK15" t="s">
        <v>12</v>
      </c>
      <c r="AM15" t="s">
        <v>30</v>
      </c>
      <c r="AN15" t="s">
        <v>8</v>
      </c>
      <c r="AO15" t="s">
        <v>27</v>
      </c>
      <c r="AS15" t="s">
        <v>53</v>
      </c>
      <c r="AT15" t="s">
        <v>30</v>
      </c>
      <c r="AU15" t="s">
        <v>25</v>
      </c>
      <c r="AV15" t="s">
        <v>8</v>
      </c>
      <c r="AW15" t="s">
        <v>53</v>
      </c>
      <c r="AX15" t="s">
        <v>51</v>
      </c>
      <c r="AZ15" t="s">
        <v>30</v>
      </c>
      <c r="BA15" t="s">
        <v>40</v>
      </c>
      <c r="BB15" t="s">
        <v>51</v>
      </c>
      <c r="BC15" t="s">
        <v>20</v>
      </c>
      <c r="BG15" t="s">
        <v>42</v>
      </c>
      <c r="BJ15" t="s">
        <v>30</v>
      </c>
      <c r="BK15" t="s">
        <v>51</v>
      </c>
      <c r="BM15" t="s">
        <v>25</v>
      </c>
      <c r="BN15" t="s">
        <v>43</v>
      </c>
      <c r="BO15" t="s">
        <v>43</v>
      </c>
      <c r="BS15" t="s">
        <v>60</v>
      </c>
    </row>
    <row r="16" ht="15" customHeight="1" spans="1:71" x14ac:dyDescent="0.25">
      <c r="A16" t="s">
        <v>49</v>
      </c>
      <c r="D16" t="s">
        <v>17</v>
      </c>
      <c r="F16" t="s">
        <v>58</v>
      </c>
      <c r="G16" t="s">
        <v>58</v>
      </c>
      <c r="H16" t="s">
        <v>18</v>
      </c>
      <c r="K16" t="s">
        <v>36</v>
      </c>
      <c r="L16" t="s">
        <v>9</v>
      </c>
      <c r="N16" t="s">
        <v>6</v>
      </c>
      <c r="P16" t="s">
        <v>21</v>
      </c>
      <c r="T16" t="s">
        <v>6</v>
      </c>
      <c r="V16" t="s">
        <v>49</v>
      </c>
      <c r="W16" t="s">
        <v>11</v>
      </c>
      <c r="Y16" t="s">
        <v>56</v>
      </c>
      <c r="Z16" t="s">
        <v>24</v>
      </c>
      <c r="AB16" t="s">
        <v>11</v>
      </c>
      <c r="AD16" t="s">
        <v>5</v>
      </c>
      <c r="AE16" t="s">
        <v>56</v>
      </c>
      <c r="AI16" t="s">
        <v>44</v>
      </c>
      <c r="AK16" t="s">
        <v>24</v>
      </c>
      <c r="AM16" t="s">
        <v>14</v>
      </c>
      <c r="AN16" t="s">
        <v>39</v>
      </c>
      <c r="AO16" t="s">
        <v>71</v>
      </c>
      <c r="AS16" t="s">
        <v>39</v>
      </c>
      <c r="AT16" t="s">
        <v>49</v>
      </c>
      <c r="AU16" t="s">
        <v>38</v>
      </c>
      <c r="AV16" t="s">
        <v>68</v>
      </c>
      <c r="AW16" t="s">
        <v>34</v>
      </c>
      <c r="AX16" t="s">
        <v>31</v>
      </c>
      <c r="AZ16" t="s">
        <v>58</v>
      </c>
      <c r="BC16" t="s">
        <v>49</v>
      </c>
      <c r="BG16" t="s">
        <v>21</v>
      </c>
      <c r="BJ16" t="s">
        <v>34</v>
      </c>
      <c r="BK16" t="s">
        <v>9</v>
      </c>
      <c r="BM16" t="s">
        <v>56</v>
      </c>
      <c r="BN16" t="s">
        <v>38</v>
      </c>
      <c r="BO16" t="s">
        <v>6</v>
      </c>
      <c r="BS16" t="s">
        <v>24</v>
      </c>
    </row>
    <row r="17" ht="15" customHeight="1" spans="1:71" x14ac:dyDescent="0.25">
      <c r="A17" t="s">
        <v>26</v>
      </c>
      <c r="D17" t="s">
        <v>21</v>
      </c>
      <c r="F17" t="s">
        <v>49</v>
      </c>
      <c r="G17" t="s">
        <v>56</v>
      </c>
      <c r="H17" t="s">
        <v>26</v>
      </c>
      <c r="K17" t="s">
        <v>26</v>
      </c>
      <c r="L17" t="s">
        <v>11</v>
      </c>
      <c r="N17" t="s">
        <v>4</v>
      </c>
      <c r="P17" t="s">
        <v>36</v>
      </c>
      <c r="T17" t="s">
        <v>68</v>
      </c>
      <c r="V17" t="s">
        <v>45</v>
      </c>
      <c r="W17" t="s">
        <v>14</v>
      </c>
      <c r="Y17" t="s">
        <v>44</v>
      </c>
      <c r="Z17" t="s">
        <v>29</v>
      </c>
      <c r="AB17" t="s">
        <v>4</v>
      </c>
      <c r="AD17" t="s">
        <v>34</v>
      </c>
      <c r="AE17" t="s">
        <v>41</v>
      </c>
      <c r="AI17" t="s">
        <v>34</v>
      </c>
      <c r="AK17" t="s">
        <v>45</v>
      </c>
      <c r="AM17" t="s">
        <v>33</v>
      </c>
      <c r="AN17" t="s">
        <v>21</v>
      </c>
      <c r="AO17" t="s">
        <v>70</v>
      </c>
      <c r="AS17" t="s">
        <v>31</v>
      </c>
      <c r="AT17" t="s">
        <v>45</v>
      </c>
      <c r="AU17" t="s">
        <v>36</v>
      </c>
      <c r="AV17" t="s">
        <v>72</v>
      </c>
      <c r="AW17" t="s">
        <v>18</v>
      </c>
      <c r="AX17" t="s">
        <v>33</v>
      </c>
      <c r="AZ17" t="s">
        <v>9</v>
      </c>
      <c r="BC17" t="s">
        <v>45</v>
      </c>
      <c r="BG17" t="s">
        <v>54</v>
      </c>
      <c r="BJ17" t="s">
        <v>18</v>
      </c>
      <c r="BK17" t="s">
        <v>11</v>
      </c>
      <c r="BM17" t="s">
        <v>38</v>
      </c>
      <c r="BN17" t="s">
        <v>24</v>
      </c>
      <c r="BO17" t="s">
        <v>26</v>
      </c>
      <c r="BS17" t="s">
        <v>33</v>
      </c>
    </row>
    <row r="18" ht="15" customHeight="1" spans="1:71" x14ac:dyDescent="0.25">
      <c r="A18" t="s">
        <v>27</v>
      </c>
      <c r="D18" t="s">
        <v>35</v>
      </c>
      <c r="F18" t="s">
        <v>62</v>
      </c>
      <c r="G18" t="s">
        <v>59</v>
      </c>
      <c r="H18" t="s">
        <v>22</v>
      </c>
      <c r="K18" t="s">
        <v>19</v>
      </c>
      <c r="L18" t="s">
        <v>7</v>
      </c>
      <c r="N18" t="s">
        <v>7</v>
      </c>
      <c r="P18" t="s">
        <v>28</v>
      </c>
      <c r="T18" t="s">
        <v>8</v>
      </c>
      <c r="V18" t="s">
        <v>57</v>
      </c>
      <c r="W18" t="s">
        <v>13</v>
      </c>
      <c r="Y18" t="s">
        <v>65</v>
      </c>
      <c r="Z18" t="s">
        <v>22</v>
      </c>
      <c r="AB18" t="s">
        <v>7</v>
      </c>
      <c r="AD18" t="s">
        <v>13</v>
      </c>
      <c r="AE18" t="s">
        <v>57</v>
      </c>
      <c r="AI18" t="s">
        <v>19</v>
      </c>
      <c r="AK18" t="s">
        <v>19</v>
      </c>
      <c r="AM18" t="s">
        <v>19</v>
      </c>
      <c r="AN18" t="s">
        <v>20</v>
      </c>
      <c r="AO18" t="s">
        <v>22</v>
      </c>
      <c r="AS18" t="s">
        <v>32</v>
      </c>
      <c r="AT18" t="s">
        <v>57</v>
      </c>
      <c r="AU18" t="s">
        <v>40</v>
      </c>
      <c r="AV18" t="s">
        <v>51</v>
      </c>
      <c r="AW18" t="s">
        <v>20</v>
      </c>
      <c r="AX18" t="s">
        <v>40</v>
      </c>
      <c r="AZ18" t="s">
        <v>12</v>
      </c>
      <c r="BC18" t="s">
        <v>66</v>
      </c>
      <c r="BG18" t="s">
        <v>59</v>
      </c>
      <c r="BJ18" t="s">
        <v>32</v>
      </c>
      <c r="BK18" t="s">
        <v>19</v>
      </c>
      <c r="BM18" t="s">
        <v>35</v>
      </c>
      <c r="BN18" t="s">
        <v>35</v>
      </c>
      <c r="BO18" t="s">
        <v>12</v>
      </c>
      <c r="BS18" t="s">
        <v>32</v>
      </c>
    </row>
    <row r="19" ht="15" customHeight="1" spans="1:71" x14ac:dyDescent="0.25">
      <c r="A19" t="s">
        <v>28</v>
      </c>
      <c r="D19" t="s">
        <v>23</v>
      </c>
      <c r="F19" t="s">
        <v>48</v>
      </c>
      <c r="G19" t="s">
        <v>48</v>
      </c>
      <c r="H19" t="s">
        <v>30</v>
      </c>
      <c r="K19" t="s">
        <v>23</v>
      </c>
      <c r="L19" t="s">
        <v>8</v>
      </c>
      <c r="N19" t="s">
        <v>12</v>
      </c>
      <c r="P19" t="s">
        <v>30</v>
      </c>
      <c r="T19" t="s">
        <v>52</v>
      </c>
      <c r="V19" t="s">
        <v>53</v>
      </c>
      <c r="W19" t="s">
        <v>15</v>
      </c>
      <c r="Y19" t="s">
        <v>53</v>
      </c>
      <c r="Z19" t="s">
        <v>20</v>
      </c>
      <c r="AB19" t="s">
        <v>55</v>
      </c>
      <c r="AD19" t="s">
        <v>25</v>
      </c>
      <c r="AE19" t="s">
        <v>59</v>
      </c>
      <c r="AI19" t="s">
        <v>25</v>
      </c>
      <c r="AK19" t="s">
        <v>66</v>
      </c>
      <c r="AM19" t="s">
        <v>15</v>
      </c>
      <c r="AN19" t="s">
        <v>30</v>
      </c>
      <c r="AO19" t="s">
        <v>61</v>
      </c>
      <c r="AS19" t="s">
        <v>37</v>
      </c>
      <c r="AT19" t="s">
        <v>66</v>
      </c>
      <c r="AU19" t="s">
        <v>35</v>
      </c>
      <c r="AV19" t="s">
        <v>59</v>
      </c>
      <c r="AW19" t="s">
        <v>30</v>
      </c>
      <c r="AX19" t="s">
        <v>27</v>
      </c>
      <c r="AZ19" t="s">
        <v>15</v>
      </c>
      <c r="BC19" t="s">
        <v>55</v>
      </c>
      <c r="BG19" t="s">
        <v>43</v>
      </c>
      <c r="BJ19" t="s">
        <v>37</v>
      </c>
      <c r="BK19" t="s">
        <v>12</v>
      </c>
      <c r="BM19" t="s">
        <v>57</v>
      </c>
      <c r="BN19" t="s">
        <v>25</v>
      </c>
      <c r="BO19" t="s">
        <v>37</v>
      </c>
      <c r="BS19" t="s">
        <v>23</v>
      </c>
    </row>
    <row r="20" ht="15" customHeight="1" spans="1:71" x14ac:dyDescent="0.25">
      <c r="A20" t="s">
        <v>24</v>
      </c>
      <c r="D20" t="s">
        <v>56</v>
      </c>
      <c r="F20" t="s">
        <v>17</v>
      </c>
      <c r="G20" t="s">
        <v>29</v>
      </c>
      <c r="H20" t="s">
        <v>6</v>
      </c>
      <c r="K20" t="s">
        <v>21</v>
      </c>
      <c r="L20" t="s">
        <v>31</v>
      </c>
      <c r="V20" t="s">
        <v>34</v>
      </c>
      <c r="W20" t="s">
        <v>39</v>
      </c>
      <c r="Y20" t="s">
        <v>9</v>
      </c>
      <c r="AB20" t="s">
        <v>26</v>
      </c>
      <c r="AD20" t="s">
        <v>71</v>
      </c>
      <c r="AE20" t="s">
        <v>71</v>
      </c>
      <c r="AI20" t="s">
        <v>31</v>
      </c>
      <c r="AK20" t="s">
        <v>29</v>
      </c>
      <c r="AM20" t="s">
        <v>38</v>
      </c>
      <c r="AO20" t="s">
        <v>9</v>
      </c>
      <c r="AT20" t="s">
        <v>5</v>
      </c>
      <c r="AU20" t="s">
        <v>33</v>
      </c>
      <c r="AW20" t="s">
        <v>17</v>
      </c>
      <c r="AZ20" t="s">
        <v>34</v>
      </c>
      <c r="BC20" t="s">
        <v>68</v>
      </c>
      <c r="BK20" t="s">
        <v>21</v>
      </c>
      <c r="BM20" t="s">
        <v>44</v>
      </c>
      <c r="BO20" t="s">
        <v>17</v>
      </c>
      <c r="BS20" t="s">
        <v>31</v>
      </c>
    </row>
    <row r="21" ht="15" customHeight="1" spans="1:71" x14ac:dyDescent="0.25">
      <c r="A21" t="s">
        <v>4</v>
      </c>
      <c r="D21" t="s">
        <v>36</v>
      </c>
      <c r="F21" t="s">
        <v>31</v>
      </c>
      <c r="G21" t="s">
        <v>26</v>
      </c>
      <c r="H21" t="s">
        <v>34</v>
      </c>
      <c r="K21" t="s">
        <v>4</v>
      </c>
      <c r="L21" t="s">
        <v>34</v>
      </c>
      <c r="V21" t="s">
        <v>18</v>
      </c>
      <c r="W21" t="s">
        <v>21</v>
      </c>
      <c r="Y21" t="s">
        <v>33</v>
      </c>
      <c r="AB21" t="s">
        <v>54</v>
      </c>
      <c r="AD21" t="s">
        <v>47</v>
      </c>
      <c r="AE21" t="s">
        <v>70</v>
      </c>
      <c r="AI21" t="s">
        <v>18</v>
      </c>
      <c r="AK21" t="s">
        <v>26</v>
      </c>
      <c r="AM21" t="s">
        <v>26</v>
      </c>
      <c r="AO21" t="s">
        <v>33</v>
      </c>
      <c r="AT21" t="s">
        <v>56</v>
      </c>
      <c r="AU21" t="s">
        <v>26</v>
      </c>
      <c r="AW21" t="s">
        <v>49</v>
      </c>
      <c r="AZ21" t="s">
        <v>45</v>
      </c>
      <c r="BC21" t="s">
        <v>41</v>
      </c>
      <c r="BK21" t="s">
        <v>47</v>
      </c>
      <c r="BM21" t="s">
        <v>26</v>
      </c>
      <c r="BO21" t="s">
        <v>36</v>
      </c>
      <c r="BS21" t="s">
        <v>34</v>
      </c>
    </row>
    <row r="22" ht="15" customHeight="1" spans="1:71" x14ac:dyDescent="0.25">
      <c r="A22" t="s">
        <v>8</v>
      </c>
      <c r="D22" t="s">
        <v>57</v>
      </c>
      <c r="F22" t="s">
        <v>32</v>
      </c>
      <c r="G22" t="s">
        <v>20</v>
      </c>
      <c r="H22" t="s">
        <v>7</v>
      </c>
      <c r="K22" t="s">
        <v>12</v>
      </c>
      <c r="L22" t="s">
        <v>32</v>
      </c>
      <c r="V22" t="s">
        <v>32</v>
      </c>
      <c r="W22" t="s">
        <v>35</v>
      </c>
      <c r="Y22" t="s">
        <v>32</v>
      </c>
      <c r="AB22" t="s">
        <v>37</v>
      </c>
      <c r="AD22" t="s">
        <v>69</v>
      </c>
      <c r="AE22" t="s">
        <v>65</v>
      </c>
      <c r="AI22" t="s">
        <v>22</v>
      </c>
      <c r="AK22" t="s">
        <v>40</v>
      </c>
      <c r="AM22" t="s">
        <v>40</v>
      </c>
      <c r="AO22" t="s">
        <v>20</v>
      </c>
      <c r="AT22" t="s">
        <v>13</v>
      </c>
      <c r="AU22" t="s">
        <v>19</v>
      </c>
      <c r="AW22" t="s">
        <v>35</v>
      </c>
      <c r="AZ22" t="s">
        <v>22</v>
      </c>
      <c r="BC22" t="s">
        <v>52</v>
      </c>
      <c r="BK22" t="s">
        <v>40</v>
      </c>
      <c r="BM22" t="s">
        <v>23</v>
      </c>
      <c r="BO22" t="s">
        <v>40</v>
      </c>
      <c r="BS22" t="s">
        <v>27</v>
      </c>
    </row>
    <row r="23" ht="15" customHeight="1" spans="1:71" x14ac:dyDescent="0.25">
      <c r="A23" t="s">
        <v>25</v>
      </c>
      <c r="D23" t="s">
        <v>19</v>
      </c>
      <c r="F23" t="s">
        <v>19</v>
      </c>
      <c r="G23" t="s">
        <v>55</v>
      </c>
      <c r="H23" t="s">
        <v>28</v>
      </c>
      <c r="K23" t="s">
        <v>43</v>
      </c>
      <c r="L23" t="s">
        <v>57</v>
      </c>
      <c r="V23" t="s">
        <v>40</v>
      </c>
      <c r="W23" t="s">
        <v>23</v>
      </c>
      <c r="Y23" t="s">
        <v>40</v>
      </c>
      <c r="AB23" t="s">
        <v>42</v>
      </c>
      <c r="AD23" t="s">
        <v>55</v>
      </c>
      <c r="AE23" t="s">
        <v>61</v>
      </c>
      <c r="AI23" t="s">
        <v>23</v>
      </c>
      <c r="AK23" t="s">
        <v>37</v>
      </c>
      <c r="AM23" t="s">
        <v>25</v>
      </c>
      <c r="AO23" t="s">
        <v>13</v>
      </c>
      <c r="AT23" t="s">
        <v>55</v>
      </c>
      <c r="AU23" t="s">
        <v>20</v>
      </c>
      <c r="AW23" t="s">
        <v>25</v>
      </c>
      <c r="AZ23" t="s">
        <v>57</v>
      </c>
      <c r="BC23" t="s">
        <v>30</v>
      </c>
      <c r="BK23" t="s">
        <v>42</v>
      </c>
      <c r="BM23" t="s">
        <v>30</v>
      </c>
      <c r="BO23" t="s">
        <v>25</v>
      </c>
      <c r="BS23" t="s">
        <v>25</v>
      </c>
    </row>
    <row r="24" ht="15" customHeight="1" spans="7:71" x14ac:dyDescent="0.25">
      <c r="G24" t="s">
        <v>9</v>
      </c>
      <c r="L24" t="s">
        <v>38</v>
      </c>
      <c r="AD24" t="s">
        <v>56</v>
      </c>
      <c r="AE24" t="s">
        <v>68</v>
      </c>
      <c r="AK24" t="s">
        <v>33</v>
      </c>
      <c r="AT24" t="s">
        <v>24</v>
      </c>
      <c r="BC24" t="s">
        <v>9</v>
      </c>
      <c r="BK24" t="s">
        <v>41</v>
      </c>
    </row>
    <row r="25" ht="15" customHeight="1" spans="7:63" x14ac:dyDescent="0.25">
      <c r="G25" t="s">
        <v>47</v>
      </c>
      <c r="L25" t="s">
        <v>49</v>
      </c>
      <c r="AD25" t="s">
        <v>45</v>
      </c>
      <c r="AE25" t="s">
        <v>54</v>
      </c>
      <c r="AK25" t="s">
        <v>18</v>
      </c>
      <c r="AT25" t="s">
        <v>26</v>
      </c>
      <c r="BC25" t="s">
        <v>24</v>
      </c>
      <c r="BK25" t="s">
        <v>50</v>
      </c>
    </row>
    <row r="26" ht="15" customHeight="1" spans="7:63" x14ac:dyDescent="0.25">
      <c r="G26" t="s">
        <v>8</v>
      </c>
      <c r="L26" t="s">
        <v>22</v>
      </c>
      <c r="AD26" t="s">
        <v>65</v>
      </c>
      <c r="AE26" t="s">
        <v>7</v>
      </c>
      <c r="AK26" t="s">
        <v>23</v>
      </c>
      <c r="AT26" t="s">
        <v>27</v>
      </c>
      <c r="BC26" t="s">
        <v>40</v>
      </c>
      <c r="BK26" t="s">
        <v>52</v>
      </c>
    </row>
    <row r="27" ht="15" customHeight="1" spans="7:63" x14ac:dyDescent="0.25">
      <c r="G27" t="s">
        <v>64</v>
      </c>
      <c r="L27" t="s">
        <v>20</v>
      </c>
      <c r="AD27" t="s">
        <v>61</v>
      </c>
      <c r="AE27" t="s">
        <v>43</v>
      </c>
      <c r="AK27" t="s">
        <v>30</v>
      </c>
      <c r="AT27" t="s">
        <v>23</v>
      </c>
      <c r="BC27" t="s">
        <v>12</v>
      </c>
      <c r="BK27" t="s">
        <v>59</v>
      </c>
    </row>
    <row r="28" ht="15" customHeight="1" spans="63:63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T14"/>
  <sheetViews>
    <sheetView workbookViewId="0" zoomScale="96" zoomScaleNormal="96">
      <selection activeCell="BM5" sqref="BM5"/>
    </sheetView>
  </sheetViews>
  <sheetFormatPr defaultRowHeight="14.45" outlineLevelRow="0" outlineLevelCol="0" x14ac:dyDescent="0.25" customHeight="1"/>
  <cols>
    <col min="1" max="1" width="72.140625" customWidth="1"/>
    <col min="2" max="2" width="58.28515625" customWidth="1"/>
    <col min="3" max="3" width="62.5703125" customWidth="1"/>
    <col min="4" max="4" width="79.42578125" customWidth="1"/>
    <col min="5" max="5" width="74" customWidth="1"/>
    <col min="6" max="6" width="71.140625" customWidth="1"/>
    <col min="7" max="7" width="70.7109375" customWidth="1"/>
    <col min="8" max="8" width="60.140625" customWidth="1"/>
    <col min="9" max="9" width="73" customWidth="1"/>
    <col min="10" max="10" width="58.28515625" customWidth="1"/>
    <col min="11" max="11" width="57.42578125" customWidth="1"/>
    <col min="12" max="12" width="59.7109375" customWidth="1"/>
    <col min="13" max="13" width="73.85546875" customWidth="1"/>
    <col min="14" max="14" width="64.85546875" customWidth="1"/>
    <col min="15" max="15" width="70.28515625" customWidth="1"/>
    <col min="16" max="16" width="66.140625" customWidth="1"/>
    <col min="17" max="17" width="41.5703125" customWidth="1"/>
    <col min="18" max="18" width="31.140625" customWidth="1"/>
    <col min="19" max="19" width="62.42578125" customWidth="1"/>
    <col min="21" max="21" width="14.5703125" customWidth="1"/>
    <col min="22" max="22" width="48.42578125" customWidth="1"/>
    <col min="23" max="23" width="44" customWidth="1"/>
    <col min="24" max="24" width="69.42578125" customWidth="1"/>
    <col min="25" max="25" width="68.85546875" customWidth="1"/>
    <col min="26" max="26" width="44.140625" customWidth="1"/>
    <col min="27" max="27" width="64.28515625" customWidth="1"/>
    <col min="28" max="28" width="46.85546875" customWidth="1"/>
    <col min="29" max="29" width="53.140625" customWidth="1"/>
    <col min="30" max="30" width="57.42578125" customWidth="1"/>
    <col min="31" max="31" width="55.140625" customWidth="1"/>
    <col min="32" max="32" width="60.85546875" customWidth="1"/>
    <col min="33" max="33" width="48.140625" customWidth="1"/>
    <col min="34" max="34" width="54.5703125" customWidth="1"/>
    <col min="35" max="35" width="80" customWidth="1"/>
    <col min="36" max="36" width="79.28515625" customWidth="1"/>
    <col min="37" max="37" width="71.85546875" customWidth="1"/>
    <col min="38" max="38" width="62.7109375" customWidth="1"/>
    <col min="39" max="39" width="53.28515625" customWidth="1"/>
    <col min="40" max="40" width="63.5703125" customWidth="1"/>
    <col min="41" max="42" width="70.5703125" customWidth="1"/>
    <col min="43" max="43" width="60.7109375" customWidth="1"/>
    <col min="44" max="44" width="54.42578125" customWidth="1"/>
    <col min="45" max="45" width="85.140625" customWidth="1"/>
    <col min="46" max="46" width="52.5703125" customWidth="1"/>
    <col min="47" max="47" width="18.42578125" customWidth="1"/>
    <col min="48" max="48" width="66.42578125" customWidth="1"/>
    <col min="49" max="49" width="48.85546875" customWidth="1"/>
    <col min="50" max="50" width="27.7109375" customWidth="1"/>
    <col min="51" max="51" width="51.85546875" customWidth="1"/>
    <col min="52" max="52" width="67.7109375" customWidth="1"/>
    <col min="53" max="53" width="13.7109375" customWidth="1"/>
    <col min="54" max="54" width="51.7109375" customWidth="1"/>
    <col min="55" max="55" width="23.42578125" customWidth="1"/>
    <col min="56" max="56" width="46.42578125" customWidth="1"/>
    <col min="57" max="57" width="58.140625" customWidth="1"/>
    <col min="58" max="58" width="57.42578125" customWidth="1"/>
    <col min="59" max="59" width="49.140625" customWidth="1"/>
    <col min="60" max="60" width="25.5703125" customWidth="1"/>
    <col min="61" max="61" width="12.7109375" customWidth="1"/>
    <col min="62" max="62" width="47.85546875" customWidth="1"/>
    <col min="63" max="63" width="65" customWidth="1"/>
    <col min="64" max="64" width="53.7109375" customWidth="1"/>
    <col min="65" max="65" width="73.85546875" customWidth="1"/>
    <col min="66" max="66" width="67.140625" customWidth="1"/>
    <col min="67" max="67" width="57.85546875" customWidth="1"/>
    <col min="68" max="68" width="34.85546875" customWidth="1"/>
    <col min="69" max="69" width="19.28515625" customWidth="1"/>
    <col min="70" max="70" width="55.7109375" customWidth="1"/>
    <col min="78" max="78" width="9.28515625" customWidth="1"/>
    <col min="79" max="79" width="66.140625" customWidth="1"/>
    <col min="80" max="80" width="56.28515625" customWidth="1"/>
    <col min="81" max="81" width="41.28515625" customWidth="1"/>
    <col min="82" max="82" width="75.7109375" customWidth="1"/>
    <col min="83" max="83" width="65.7109375" customWidth="1"/>
    <col min="84" max="84" width="52.28515625" customWidth="1"/>
    <col min="85" max="85" width="49.7109375" customWidth="1"/>
    <col min="91" max="91" width="44.42578125" customWidth="1"/>
    <col min="92" max="92" width="54.28515625" customWidth="1"/>
    <col min="103" max="103" width="66.85546875" customWidth="1"/>
  </cols>
  <sheetData>
    <row r="3" ht="15" customHeight="1" spans="1:72" x14ac:dyDescent="0.25">
      <c r="A3" t="s">
        <v>73</v>
      </c>
      <c r="B3" t="s">
        <v>78</v>
      </c>
      <c r="C3" t="s">
        <v>83</v>
      </c>
      <c r="D3" t="s">
        <v>74</v>
      </c>
      <c r="E3" t="s">
        <v>85</v>
      </c>
      <c r="F3" t="s">
        <v>75</v>
      </c>
      <c r="G3" t="s">
        <v>76</v>
      </c>
      <c r="H3" t="s">
        <v>86</v>
      </c>
      <c r="I3" t="s">
        <v>97</v>
      </c>
      <c r="J3" t="s">
        <v>99</v>
      </c>
      <c r="K3" t="s">
        <v>84</v>
      </c>
      <c r="L3" t="s">
        <v>80</v>
      </c>
      <c r="M3" t="s">
        <v>96</v>
      </c>
      <c r="N3" t="s">
        <v>98</v>
      </c>
      <c r="O3" t="s">
        <v>108</v>
      </c>
      <c r="P3" t="s">
        <v>79</v>
      </c>
      <c r="Q3" t="s">
        <v>82</v>
      </c>
      <c r="R3" t="s">
        <v>87</v>
      </c>
      <c r="S3" t="s">
        <v>101</v>
      </c>
      <c r="T3" t="s">
        <v>89</v>
      </c>
      <c r="U3" t="s">
        <v>81</v>
      </c>
      <c r="V3" t="s">
        <v>90</v>
      </c>
      <c r="W3" t="s">
        <v>77</v>
      </c>
      <c r="X3" t="s">
        <v>110</v>
      </c>
      <c r="Y3" t="s">
        <v>88</v>
      </c>
      <c r="Z3" t="s">
        <v>93</v>
      </c>
      <c r="AA3" t="s">
        <v>105</v>
      </c>
      <c r="AB3" t="s">
        <v>100</v>
      </c>
      <c r="AC3" t="s">
        <v>113</v>
      </c>
      <c r="AD3" t="s">
        <v>91</v>
      </c>
      <c r="AE3" t="s">
        <v>102</v>
      </c>
      <c r="AF3" t="s">
        <v>107</v>
      </c>
      <c r="AG3" t="s">
        <v>135</v>
      </c>
      <c r="AH3" t="s">
        <v>116</v>
      </c>
      <c r="AI3" t="s">
        <v>95</v>
      </c>
      <c r="AJ3" t="s">
        <v>123</v>
      </c>
      <c r="AK3" t="s">
        <v>115</v>
      </c>
      <c r="AL3" t="s">
        <v>118</v>
      </c>
      <c r="AM3" t="s">
        <v>106</v>
      </c>
      <c r="AN3" t="s">
        <v>114</v>
      </c>
      <c r="AO3" t="s">
        <v>94</v>
      </c>
      <c r="AP3" t="s">
        <v>127</v>
      </c>
      <c r="AQ3" t="s">
        <v>130</v>
      </c>
      <c r="AR3" t="s">
        <v>117</v>
      </c>
      <c r="AS3" t="s">
        <v>92</v>
      </c>
      <c r="AT3" t="s">
        <v>104</v>
      </c>
      <c r="AU3" t="s">
        <v>109</v>
      </c>
      <c r="AV3" t="s">
        <v>103</v>
      </c>
      <c r="AW3" t="s">
        <v>111</v>
      </c>
      <c r="AX3" t="s">
        <v>112</v>
      </c>
      <c r="AY3" t="s">
        <v>143</v>
      </c>
      <c r="AZ3" t="s">
        <v>121</v>
      </c>
      <c r="BA3" t="s">
        <v>133</v>
      </c>
      <c r="BB3" t="s">
        <v>131</v>
      </c>
      <c r="BC3" t="s">
        <v>120</v>
      </c>
      <c r="BD3" t="s">
        <v>136</v>
      </c>
      <c r="BE3" t="s">
        <v>142</v>
      </c>
      <c r="BF3" t="s">
        <v>141</v>
      </c>
      <c r="BG3" t="s">
        <v>138</v>
      </c>
      <c r="BH3" t="s">
        <v>124</v>
      </c>
      <c r="BI3" t="s">
        <v>140</v>
      </c>
      <c r="BJ3" t="s">
        <v>129</v>
      </c>
      <c r="BK3" t="s">
        <v>134</v>
      </c>
      <c r="BL3" t="s">
        <v>128</v>
      </c>
      <c r="BM3" t="s">
        <v>126</v>
      </c>
      <c r="BN3" t="s">
        <v>132</v>
      </c>
      <c r="BO3" t="s">
        <v>122</v>
      </c>
      <c r="BP3" t="s">
        <v>139</v>
      </c>
      <c r="BQ3" t="s">
        <v>137</v>
      </c>
      <c r="BR3" t="s">
        <v>145</v>
      </c>
      <c r="BS3" t="s">
        <v>119</v>
      </c>
      <c r="BT3" t="s">
        <v>125</v>
      </c>
    </row>
    <row r="4" ht="15" customHeight="1" spans="1:72" x14ac:dyDescent="0.25">
      <c r="A4" t="s">
        <v>147</v>
      </c>
      <c r="B4" t="s">
        <v>148</v>
      </c>
      <c r="C4" t="s">
        <v>149</v>
      </c>
      <c r="D4" t="s">
        <v>150</v>
      </c>
      <c r="E4" t="s">
        <v>151</v>
      </c>
      <c r="F4" t="s">
        <v>152</v>
      </c>
      <c r="G4" t="s">
        <v>153</v>
      </c>
      <c r="H4" t="s">
        <v>154</v>
      </c>
      <c r="I4" t="s">
        <v>155</v>
      </c>
      <c r="J4" t="s">
        <v>156</v>
      </c>
      <c r="K4" t="s">
        <v>157</v>
      </c>
      <c r="L4" t="s">
        <v>158</v>
      </c>
      <c r="M4" t="s">
        <v>159</v>
      </c>
      <c r="N4" t="s">
        <v>160</v>
      </c>
      <c r="O4" t="s">
        <v>161</v>
      </c>
      <c r="P4" t="s">
        <v>162</v>
      </c>
      <c r="Q4" t="s">
        <v>163</v>
      </c>
      <c r="R4" t="s">
        <v>164</v>
      </c>
      <c r="S4" t="s">
        <v>165</v>
      </c>
      <c r="T4" t="s">
        <v>166</v>
      </c>
      <c r="U4" t="s">
        <v>167</v>
      </c>
      <c r="V4" t="s">
        <v>168</v>
      </c>
      <c r="W4" t="s">
        <v>169</v>
      </c>
      <c r="X4" t="s">
        <v>170</v>
      </c>
      <c r="Y4" t="s">
        <v>171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 t="s">
        <v>178</v>
      </c>
      <c r="AG4" t="s">
        <v>179</v>
      </c>
      <c r="AH4" t="s">
        <v>180</v>
      </c>
      <c r="AI4" t="s">
        <v>181</v>
      </c>
      <c r="AJ4" t="s">
        <v>182</v>
      </c>
      <c r="AK4" t="s">
        <v>183</v>
      </c>
      <c r="AL4" t="s">
        <v>184</v>
      </c>
      <c r="AM4" t="s">
        <v>185</v>
      </c>
      <c r="AN4" t="s">
        <v>186</v>
      </c>
      <c r="AO4" t="s">
        <v>187</v>
      </c>
      <c r="AP4" t="s">
        <v>175</v>
      </c>
      <c r="AQ4" t="s">
        <v>188</v>
      </c>
      <c r="AR4" t="s">
        <v>189</v>
      </c>
      <c r="AS4" t="s">
        <v>190</v>
      </c>
      <c r="AT4" t="s">
        <v>191</v>
      </c>
      <c r="AU4" t="s">
        <v>192</v>
      </c>
      <c r="AV4" t="s">
        <v>193</v>
      </c>
      <c r="AW4" t="s">
        <v>194</v>
      </c>
      <c r="AX4" t="s">
        <v>195</v>
      </c>
      <c r="AY4" t="s">
        <v>196</v>
      </c>
      <c r="AZ4" t="s">
        <v>197</v>
      </c>
      <c r="BA4" t="s">
        <v>198</v>
      </c>
      <c r="BB4" t="s">
        <v>199</v>
      </c>
      <c r="BC4" t="s">
        <v>200</v>
      </c>
      <c r="BD4" t="s">
        <v>201</v>
      </c>
      <c r="BE4" t="s">
        <v>202</v>
      </c>
      <c r="BF4" t="s">
        <v>203</v>
      </c>
      <c r="BG4" t="s">
        <v>204</v>
      </c>
      <c r="BH4" t="s">
        <v>205</v>
      </c>
      <c r="BI4" t="s">
        <v>206</v>
      </c>
      <c r="BJ4" t="s">
        <v>207</v>
      </c>
      <c r="BK4" t="s">
        <v>208</v>
      </c>
      <c r="BL4" t="s">
        <v>209</v>
      </c>
      <c r="BM4" t="s">
        <v>210</v>
      </c>
      <c r="BN4" t="s">
        <v>211</v>
      </c>
      <c r="BO4" t="s">
        <v>212</v>
      </c>
      <c r="BP4" t="s">
        <v>213</v>
      </c>
      <c r="BQ4" t="s">
        <v>214</v>
      </c>
      <c r="BR4" t="s">
        <v>215</v>
      </c>
      <c r="BS4" t="s">
        <v>216</v>
      </c>
      <c r="BT4" t="s">
        <v>217</v>
      </c>
    </row>
    <row r="5" ht="15" customHeight="1" spans="1:72" x14ac:dyDescent="0.25">
      <c r="A5" t="s">
        <v>218</v>
      </c>
      <c r="D5" t="s">
        <v>219</v>
      </c>
      <c r="F5" t="s">
        <v>220</v>
      </c>
      <c r="G5" t="s">
        <v>221</v>
      </c>
      <c r="H5" t="s">
        <v>222</v>
      </c>
      <c r="K5" t="s">
        <v>223</v>
      </c>
      <c r="L5" t="s">
        <v>224</v>
      </c>
      <c r="N5" t="s">
        <v>225</v>
      </c>
      <c r="P5" t="s">
        <v>226</v>
      </c>
      <c r="R5" t="s">
        <v>227</v>
      </c>
      <c r="T5" t="s">
        <v>228</v>
      </c>
      <c r="U5" t="s">
        <v>229</v>
      </c>
      <c r="V5" t="s">
        <v>230</v>
      </c>
      <c r="W5" t="s">
        <v>231</v>
      </c>
      <c r="Y5" t="s">
        <v>232</v>
      </c>
      <c r="Z5" t="s">
        <v>233</v>
      </c>
      <c r="AB5" t="s">
        <v>234</v>
      </c>
      <c r="AD5" t="s">
        <v>235</v>
      </c>
      <c r="AE5" t="s">
        <v>236</v>
      </c>
      <c r="AF5" t="s">
        <v>237</v>
      </c>
      <c r="AI5" t="s">
        <v>238</v>
      </c>
      <c r="AK5" t="s">
        <v>239</v>
      </c>
      <c r="AL5" t="s">
        <v>240</v>
      </c>
      <c r="AM5" t="s">
        <v>241</v>
      </c>
      <c r="AN5" t="s">
        <v>242</v>
      </c>
      <c r="AO5" t="s">
        <v>243</v>
      </c>
      <c r="AR5" t="s">
        <v>244</v>
      </c>
      <c r="AS5" t="s">
        <v>245</v>
      </c>
      <c r="AT5" t="s">
        <v>246</v>
      </c>
      <c r="AU5" t="s">
        <v>247</v>
      </c>
      <c r="AV5" t="s">
        <v>248</v>
      </c>
      <c r="AW5" t="s">
        <v>249</v>
      </c>
      <c r="AX5" t="s">
        <v>250</v>
      </c>
      <c r="AZ5" t="s">
        <v>251</v>
      </c>
      <c r="BA5" t="s">
        <v>252</v>
      </c>
      <c r="BB5" t="s">
        <v>253</v>
      </c>
      <c r="BC5" t="s">
        <v>254</v>
      </c>
      <c r="BG5" t="s">
        <v>206</v>
      </c>
      <c r="BH5" t="s">
        <v>255</v>
      </c>
      <c r="BJ5" t="s">
        <v>256</v>
      </c>
      <c r="BK5" t="s">
        <v>257</v>
      </c>
      <c r="BM5" t="s">
        <v>258</v>
      </c>
      <c r="BN5" t="s">
        <v>259</v>
      </c>
      <c r="BO5" t="s">
        <v>260</v>
      </c>
      <c r="BQ5" t="s">
        <v>261</v>
      </c>
      <c r="BS5" t="s">
        <v>262</v>
      </c>
    </row>
    <row r="6" ht="15" customHeight="1" spans="1:71" x14ac:dyDescent="0.25">
      <c r="A6" t="s">
        <v>263</v>
      </c>
      <c r="D6" t="s">
        <v>264</v>
      </c>
      <c r="F6" t="s">
        <v>265</v>
      </c>
      <c r="G6" t="s">
        <v>266</v>
      </c>
      <c r="H6" t="s">
        <v>267</v>
      </c>
      <c r="K6" t="s">
        <v>268</v>
      </c>
      <c r="L6" t="s">
        <v>269</v>
      </c>
      <c r="N6" t="s">
        <v>270</v>
      </c>
      <c r="P6" t="s">
        <v>271</v>
      </c>
      <c r="T6" t="s">
        <v>272</v>
      </c>
      <c r="V6" t="s">
        <v>273</v>
      </c>
      <c r="W6" t="s">
        <v>274</v>
      </c>
      <c r="Y6" t="s">
        <v>275</v>
      </c>
      <c r="Z6" t="s">
        <v>276</v>
      </c>
      <c r="AB6" t="s">
        <v>277</v>
      </c>
      <c r="AD6" t="s">
        <v>278</v>
      </c>
      <c r="AE6" t="s">
        <v>279</v>
      </c>
      <c r="AI6" t="s">
        <v>280</v>
      </c>
      <c r="AK6" t="s">
        <v>281</v>
      </c>
      <c r="AM6" t="s">
        <v>282</v>
      </c>
      <c r="AN6" t="s">
        <v>283</v>
      </c>
      <c r="AO6" t="s">
        <v>284</v>
      </c>
      <c r="AS6" t="s">
        <v>285</v>
      </c>
      <c r="AT6" t="s">
        <v>286</v>
      </c>
      <c r="AU6" t="s">
        <v>287</v>
      </c>
      <c r="AV6" t="s">
        <v>288</v>
      </c>
      <c r="AW6" t="s">
        <v>289</v>
      </c>
      <c r="AX6" t="s">
        <v>290</v>
      </c>
      <c r="AZ6" t="s">
        <v>291</v>
      </c>
      <c r="BA6" t="s">
        <v>292</v>
      </c>
      <c r="BB6" t="s">
        <v>293</v>
      </c>
      <c r="BC6" t="s">
        <v>294</v>
      </c>
      <c r="BG6" t="s">
        <v>295</v>
      </c>
      <c r="BJ6" t="s">
        <v>296</v>
      </c>
      <c r="BK6" t="s">
        <v>297</v>
      </c>
      <c r="BM6" t="s">
        <v>298</v>
      </c>
      <c r="BN6" t="s">
        <v>299</v>
      </c>
      <c r="BO6" t="s">
        <v>300</v>
      </c>
      <c r="BS6" t="s">
        <v>301</v>
      </c>
    </row>
    <row r="7" ht="15" customHeight="1" spans="1:71" x14ac:dyDescent="0.25">
      <c r="A7" t="s">
        <v>302</v>
      </c>
      <c r="D7" t="s">
        <v>303</v>
      </c>
      <c r="F7" t="s">
        <v>304</v>
      </c>
      <c r="G7" t="s">
        <v>305</v>
      </c>
      <c r="H7" t="s">
        <v>306</v>
      </c>
      <c r="K7" t="s">
        <v>307</v>
      </c>
      <c r="L7" t="s">
        <v>308</v>
      </c>
      <c r="N7" t="s">
        <v>309</v>
      </c>
      <c r="P7" t="s">
        <v>310</v>
      </c>
      <c r="T7" t="s">
        <v>311</v>
      </c>
      <c r="V7" t="s">
        <v>312</v>
      </c>
      <c r="W7" t="s">
        <v>313</v>
      </c>
      <c r="Y7" t="s">
        <v>314</v>
      </c>
      <c r="Z7" t="s">
        <v>315</v>
      </c>
      <c r="AB7" t="s">
        <v>316</v>
      </c>
      <c r="AD7" t="s">
        <v>317</v>
      </c>
      <c r="AE7" t="s">
        <v>318</v>
      </c>
      <c r="AI7" t="s">
        <v>319</v>
      </c>
      <c r="AK7" t="s">
        <v>320</v>
      </c>
      <c r="AM7" t="s">
        <v>321</v>
      </c>
      <c r="AN7" t="s">
        <v>322</v>
      </c>
      <c r="AO7" t="s">
        <v>323</v>
      </c>
      <c r="AS7" t="s">
        <v>324</v>
      </c>
      <c r="AT7" t="s">
        <v>325</v>
      </c>
      <c r="AU7" t="s">
        <v>326</v>
      </c>
      <c r="AV7" t="s">
        <v>327</v>
      </c>
      <c r="AW7" t="s">
        <v>328</v>
      </c>
      <c r="AX7" t="s">
        <v>329</v>
      </c>
      <c r="AZ7" t="s">
        <v>330</v>
      </c>
      <c r="BC7" t="s">
        <v>331</v>
      </c>
      <c r="BG7" t="s">
        <v>332</v>
      </c>
      <c r="BJ7" t="s">
        <v>333</v>
      </c>
      <c r="BK7" t="s">
        <v>334</v>
      </c>
      <c r="BM7" t="s">
        <v>335</v>
      </c>
      <c r="BN7" t="s">
        <v>336</v>
      </c>
      <c r="BO7" t="s">
        <v>337</v>
      </c>
      <c r="BS7" t="s">
        <v>338</v>
      </c>
    </row>
    <row r="8" ht="15" customHeight="1" spans="1:71" x14ac:dyDescent="0.25">
      <c r="A8" t="s">
        <v>339</v>
      </c>
      <c r="D8" t="s">
        <v>340</v>
      </c>
      <c r="F8" t="s">
        <v>341</v>
      </c>
      <c r="G8" t="s">
        <v>342</v>
      </c>
      <c r="H8" t="s">
        <v>343</v>
      </c>
      <c r="K8" t="s">
        <v>344</v>
      </c>
      <c r="L8" t="s">
        <v>345</v>
      </c>
      <c r="V8" t="s">
        <v>346</v>
      </c>
      <c r="W8" t="s">
        <v>347</v>
      </c>
      <c r="Y8" t="s">
        <v>348</v>
      </c>
      <c r="AB8" t="s">
        <v>349</v>
      </c>
      <c r="AD8" t="s">
        <v>350</v>
      </c>
      <c r="AE8" t="s">
        <v>351</v>
      </c>
      <c r="AI8" t="s">
        <v>352</v>
      </c>
      <c r="AK8" t="s">
        <v>353</v>
      </c>
      <c r="AM8" t="s">
        <v>354</v>
      </c>
      <c r="AO8" t="s">
        <v>355</v>
      </c>
      <c r="AT8" t="s">
        <v>356</v>
      </c>
      <c r="AU8" t="s">
        <v>357</v>
      </c>
      <c r="AW8" t="s">
        <v>358</v>
      </c>
      <c r="AZ8" t="s">
        <v>359</v>
      </c>
      <c r="BC8" t="s">
        <v>360</v>
      </c>
      <c r="BK8" t="s">
        <v>361</v>
      </c>
      <c r="BM8" t="s">
        <v>362</v>
      </c>
      <c r="BO8" t="s">
        <v>363</v>
      </c>
      <c r="BS8" t="s">
        <v>364</v>
      </c>
    </row>
    <row r="9" ht="15" customHeight="1" spans="7:71" x14ac:dyDescent="0.25">
      <c r="G9" t="s">
        <v>365</v>
      </c>
      <c r="L9" t="s">
        <v>366</v>
      </c>
      <c r="AD9" t="s">
        <v>367</v>
      </c>
      <c r="AE9" t="s">
        <v>368</v>
      </c>
      <c r="AK9" t="s">
        <v>369</v>
      </c>
      <c r="AT9" t="s">
        <v>370</v>
      </c>
      <c r="BC9" t="s">
        <v>371</v>
      </c>
      <c r="BK9" t="s">
        <v>372</v>
      </c>
    </row>
    <row r="10" ht="15" customHeight="1" spans="63:63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workbookViewId="0" zoomScale="100" zoomScaleNormal="100">
      <selection activeCell="M27" sqref="M27"/>
    </sheetView>
  </sheetViews>
  <sheetFormatPr defaultRowHeight="15" outlineLevelRow="0" outlineLevelCol="0" x14ac:dyDescent="0.25"/>
  <cols>
    <col min="1" max="1" width="13.85546875" customWidth="1"/>
    <col min="3" max="3" width="10.42578125" customWidth="1"/>
    <col min="5" max="5" width="12.140625" customWidth="1"/>
    <col min="6" max="6" width="10.5703125" customWidth="1"/>
    <col min="7" max="7" width="20.7109375" customWidth="1"/>
    <col min="8" max="8" width="10.5703125" customWidth="1"/>
    <col min="9" max="9" width="20.7109375" customWidth="1"/>
    <col min="10" max="10" width="18" customWidth="1"/>
    <col min="11" max="11" width="11.42578125" customWidth="1"/>
    <col min="12" max="12" width="20.7109375" customWidth="1"/>
    <col min="13" max="13" width="11" customWidth="1"/>
    <col min="17" max="17" width="12.85546875" customWidth="1"/>
    <col min="18" max="18" width="11.5703125" customWidth="1"/>
    <col min="19" max="19" width="10.140625" customWidth="1"/>
  </cols>
  <sheetData>
    <row r="1" spans="1:3" x14ac:dyDescent="0.25">
      <c r="A1" s="6" t="s">
        <v>373</v>
      </c>
      <c r="B1" s="7"/>
      <c r="C1" s="8">
        <f>COUNTIF(AHL_DAT_STRING!4:18,"&lt;&gt;")</f>
        <v>228</v>
      </c>
    </row>
    <row r="2" ht="15.75" customHeight="1" spans="1:3" x14ac:dyDescent="0.25">
      <c r="A2" s="9" t="s">
        <v>374</v>
      </c>
      <c r="B2" s="10"/>
      <c r="C2" s="11">
        <f>C1*4</f>
        <v>912</v>
      </c>
    </row>
    <row r="3" spans="1:8" x14ac:dyDescent="0.25">
      <c r="A3" s="12" t="s">
        <v>374</v>
      </c>
      <c r="B3" s="13">
        <f>COUNTIF(AHL!4:50, "&lt;&gt;")</f>
        <v>912</v>
      </c>
      <c r="E3" s="14" t="s">
        <v>375</v>
      </c>
      <c r="F3" s="10"/>
      <c r="G3" s="10"/>
      <c r="H3" s="10"/>
    </row>
    <row r="4" ht="15.75" customHeight="1" spans="1:12" x14ac:dyDescent="0.25">
      <c r="A4" s="15" t="s">
        <v>376</v>
      </c>
      <c r="B4" s="16">
        <f>SUMIF(AHL!2:2,"sl",AHL!1:1)</f>
        <v>132</v>
      </c>
      <c r="C4">
        <f>AHL!I1</f>
        <v>14</v>
      </c>
      <c r="E4" t="s">
        <v>377</v>
      </c>
      <c r="F4" t="s">
        <v>378</v>
      </c>
      <c r="G4" t="s">
        <v>379</v>
      </c>
      <c r="H4" t="s">
        <v>380</v>
      </c>
      <c r="I4" t="s">
        <v>381</v>
      </c>
      <c r="J4" t="s">
        <v>382</v>
      </c>
      <c r="K4" t="s">
        <v>383</v>
      </c>
      <c r="L4" t="s">
        <v>384</v>
      </c>
    </row>
    <row r="5" ht="15.75" customHeight="1" spans="1:12" x14ac:dyDescent="0.25">
      <c r="A5" s="15" t="s">
        <v>1</v>
      </c>
      <c r="B5" s="16">
        <f>SUMIF(AHL!2:2,"hr",AHL!1:1)</f>
        <v>28</v>
      </c>
      <c r="E5" s="17" t="s">
        <v>376</v>
      </c>
      <c r="F5" s="18">
        <v>2</v>
      </c>
      <c r="G5" s="19">
        <f>F5/13</f>
        <v>0.15384615384615385</v>
      </c>
      <c r="H5" s="20">
        <f>B4/B3</f>
        <v>0.14473684210526316</v>
      </c>
      <c r="I5" s="21">
        <f>C2*G5</f>
        <v>140.30769230769232</v>
      </c>
      <c r="J5">
        <f>B4</f>
        <v>132</v>
      </c>
      <c r="K5" s="22">
        <f>J5-I5</f>
        <v>-8.30769230769232</v>
      </c>
      <c r="L5" s="23">
        <f>K5/4</f>
        <v>-2.07692307692308</v>
      </c>
    </row>
    <row r="6" ht="15.75" customHeight="1" spans="1:12" x14ac:dyDescent="0.25">
      <c r="A6" s="15" t="s">
        <v>2</v>
      </c>
      <c r="B6" s="16">
        <f>SUMIF(AHL!2:2,"it",AHL!1:1)</f>
        <v>359</v>
      </c>
      <c r="C6">
        <f>AHL!X1</f>
        <v>5</v>
      </c>
      <c r="E6" s="17" t="s">
        <v>1</v>
      </c>
      <c r="F6" s="18">
        <v>1</v>
      </c>
      <c r="G6" s="19">
        <f>F6/13</f>
        <v>0.07692307692307693</v>
      </c>
      <c r="H6" s="20">
        <f>B5/B3</f>
        <v>0.03070175438596491</v>
      </c>
      <c r="I6" s="21">
        <f>C2*G6</f>
        <v>70.15384615384616</v>
      </c>
      <c r="J6">
        <f>B5</f>
        <v>28</v>
      </c>
      <c r="K6" s="22">
        <f>J6-I6</f>
        <v>-42.15384615384616</v>
      </c>
      <c r="L6" s="23">
        <f t="shared" ref="L6" si="0">K6/4</f>
        <v>-10.53846153846154</v>
      </c>
    </row>
    <row r="7" ht="15.75" customHeight="1" spans="1:12" x14ac:dyDescent="0.25">
      <c r="A7" s="24" t="s">
        <v>3</v>
      </c>
      <c r="B7" s="25">
        <f>SUMIF(AHL!2:2,"au",AHL!1:1)</f>
        <v>393</v>
      </c>
      <c r="C7">
        <f>SUM(AHL!AL1,AHL!AU1,AHL!BA1,AHL!BD1,AHL!BE1,AHL!BF1,AHL!BG1,AHL!BM1)</f>
        <v>93</v>
      </c>
      <c r="E7" s="26" t="s">
        <v>385</v>
      </c>
      <c r="F7" s="27">
        <v>3</v>
      </c>
      <c r="G7" s="28">
        <f t="shared" ref="G7:G9" si="1">F7/13</f>
        <v>0.23076923076923078</v>
      </c>
      <c r="H7" s="29">
        <f>(B5+B4)/B3</f>
        <v>0.17543859649122806</v>
      </c>
      <c r="I7" s="21">
        <f>C2*G7</f>
        <v>210.46153846153848</v>
      </c>
      <c r="J7">
        <f>B4+B5</f>
        <v>160</v>
      </c>
      <c r="K7" s="22">
        <f>J7-I7</f>
        <v>-50.46153846153848</v>
      </c>
      <c r="L7" s="23">
        <f>K7/4</f>
        <v>-12.61538461538462</v>
      </c>
    </row>
    <row r="8" ht="15.75" customHeight="1" spans="1:12" x14ac:dyDescent="0.25">
      <c r="A8" s="30" t="s">
        <v>386</v>
      </c>
      <c r="C8">
        <f>SUM(C4:C7)</f>
        <v>112</v>
      </c>
      <c r="E8" s="31" t="s">
        <v>387</v>
      </c>
      <c r="F8" s="32">
        <v>6</v>
      </c>
      <c r="G8" s="33">
        <f t="shared" si="1"/>
        <v>0.46153846153846156</v>
      </c>
      <c r="H8" s="34">
        <f>B6/B3</f>
        <v>0.39364035087719296</v>
      </c>
      <c r="I8" s="21">
        <f>C2*G8</f>
        <v>420.92307692307696</v>
      </c>
      <c r="J8">
        <f>B6</f>
        <v>359</v>
      </c>
      <c r="K8" s="22">
        <f>J8-I8</f>
        <v>-61.92307692307696</v>
      </c>
      <c r="L8" s="23">
        <f>K8/4</f>
        <v>-15.48076923076924</v>
      </c>
    </row>
    <row r="9" ht="15.75" customHeight="1" spans="1:12" x14ac:dyDescent="0.25">
      <c r="A9" t="s">
        <v>388</v>
      </c>
      <c r="B9">
        <f>SUM(B4:B7)</f>
        <v>912</v>
      </c>
      <c r="E9" s="31" t="s">
        <v>389</v>
      </c>
      <c r="F9" s="32">
        <v>4</v>
      </c>
      <c r="G9" s="33">
        <f t="shared" si="1"/>
        <v>0.3076923076923077</v>
      </c>
      <c r="H9" s="34">
        <f>B7/B3</f>
        <v>0.4309210526315789</v>
      </c>
      <c r="I9" s="21">
        <f>C2*G9</f>
        <v>280.61538461538464</v>
      </c>
      <c r="J9">
        <f>B7</f>
        <v>393</v>
      </c>
      <c r="K9" s="35">
        <f>J9-I9</f>
        <v>112.38461538461536</v>
      </c>
      <c r="L9" s="23">
        <f>K9/4</f>
        <v>28.09615384615384</v>
      </c>
    </row>
    <row r="11" spans="8:12" x14ac:dyDescent="0.25">
      <c r="H11" s="36" t="s">
        <v>390</v>
      </c>
      <c r="I11" s="37">
        <f>SUM(I7:I9)</f>
        <v>912.0000000000001</v>
      </c>
      <c r="J11" s="31">
        <f>SUM(J7:J9)</f>
        <v>912</v>
      </c>
      <c r="K11" s="38">
        <f>SUM(K7:K9)</f>
        <v>0</v>
      </c>
      <c r="L11" s="39">
        <f>SUM(L7:L9)</f>
        <v>0</v>
      </c>
    </row>
    <row r="16" ht="15.75" customHeight="1" spans="5:12" x14ac:dyDescent="0.25">
      <c r="E16" t="s">
        <v>391</v>
      </c>
      <c r="F16" t="s">
        <v>378</v>
      </c>
      <c r="G16" t="s">
        <v>392</v>
      </c>
      <c r="H16" t="s">
        <v>380</v>
      </c>
      <c r="I16" s="40" t="s">
        <v>381</v>
      </c>
      <c r="J16" s="40" t="s">
        <v>382</v>
      </c>
      <c r="K16" t="s">
        <v>383</v>
      </c>
      <c r="L16" t="s">
        <v>384</v>
      </c>
    </row>
    <row r="17" spans="5:12" x14ac:dyDescent="0.25">
      <c r="E17" s="41" t="s">
        <v>385</v>
      </c>
      <c r="F17" s="42">
        <v>3</v>
      </c>
      <c r="G17" s="43">
        <f t="shared" ref="G17:G19" si="2">F17/13</f>
        <v>0.23076923076923078</v>
      </c>
      <c r="H17" s="44">
        <f>(B5+B4)/B3</f>
        <v>0.17543859649122806</v>
      </c>
      <c r="I17" s="45">
        <f>B3*G17</f>
        <v>210.46153846153848</v>
      </c>
      <c r="J17" s="46">
        <f>B5+B4</f>
        <v>160</v>
      </c>
      <c r="K17" s="47">
        <f>J17-I17</f>
        <v>-50.46153846153848</v>
      </c>
      <c r="L17" s="23">
        <f>K17/4</f>
        <v>-12.61538461538462</v>
      </c>
    </row>
    <row r="18" spans="5:17" x14ac:dyDescent="0.25">
      <c r="E18" s="48" t="s">
        <v>387</v>
      </c>
      <c r="F18" s="49">
        <v>6</v>
      </c>
      <c r="G18" s="50">
        <f t="shared" si="2"/>
        <v>0.46153846153846156</v>
      </c>
      <c r="H18" s="51">
        <f>B6/B3</f>
        <v>0.39364035087719296</v>
      </c>
      <c r="I18" s="52">
        <f>B3*G18</f>
        <v>420.92307692307696</v>
      </c>
      <c r="J18" s="53">
        <f>B6</f>
        <v>359</v>
      </c>
      <c r="K18" s="54">
        <f>J18-I18</f>
        <v>-61.92307692307696</v>
      </c>
      <c r="L18" s="23">
        <f>K18/4</f>
        <v>-15.48076923076924</v>
      </c>
      <c r="Q18" s="55"/>
    </row>
    <row r="19" ht="15.75" customHeight="1" spans="5:12" x14ac:dyDescent="0.25">
      <c r="E19" s="56" t="s">
        <v>389</v>
      </c>
      <c r="F19" s="57">
        <v>4</v>
      </c>
      <c r="G19" s="58">
        <f t="shared" si="2"/>
        <v>0.3076923076923077</v>
      </c>
      <c r="H19" s="59">
        <f>B7/B3</f>
        <v>0.4309210526315789</v>
      </c>
      <c r="I19" s="60">
        <f>B3*G19</f>
        <v>280.61538461538464</v>
      </c>
      <c r="J19" s="61">
        <f>B7</f>
        <v>393</v>
      </c>
      <c r="K19" s="62">
        <f>J19-I19</f>
        <v>112.38461538461536</v>
      </c>
      <c r="L19" s="23">
        <f>K19/4</f>
        <v>28.09615384615384</v>
      </c>
    </row>
    <row r="21" ht="46.5" customHeight="1" spans="5:11" x14ac:dyDescent="0.25">
      <c r="E21" s="63" t="s">
        <v>393</v>
      </c>
      <c r="F21" s="63"/>
      <c r="G21" s="63"/>
      <c r="H21" s="63"/>
      <c r="I21" s="63"/>
      <c r="J21" s="63"/>
      <c r="K21" s="63"/>
    </row>
    <row r="22" ht="15.75" customHeight="1" spans="6:11" x14ac:dyDescent="0.25">
      <c r="F22" t="s">
        <v>378</v>
      </c>
      <c r="G22" t="s">
        <v>392</v>
      </c>
      <c r="H22" t="s">
        <v>380</v>
      </c>
      <c r="I22" s="40" t="s">
        <v>381</v>
      </c>
      <c r="J22" s="40" t="s">
        <v>382</v>
      </c>
      <c r="K22" t="s">
        <v>383</v>
      </c>
    </row>
    <row r="23" spans="5:11" x14ac:dyDescent="0.25">
      <c r="E23" s="41" t="s">
        <v>385</v>
      </c>
      <c r="F23" s="42">
        <v>3</v>
      </c>
      <c r="G23" s="43">
        <f t="shared" ref="G23:G25" si="3">F23/13</f>
        <v>0.23076923076923078</v>
      </c>
      <c r="H23" s="44">
        <f>(B4+B5-C4)/(B3-C8)</f>
        <v>0.1825</v>
      </c>
      <c r="I23" s="45">
        <f>(B3-C8) *G23</f>
        <v>184.6153846153846</v>
      </c>
      <c r="J23" s="46">
        <f>B4+B5-C4</f>
        <v>146</v>
      </c>
      <c r="K23" s="47">
        <f>J23-I23</f>
        <v>-38.61538461538461</v>
      </c>
    </row>
    <row r="24" ht="15.75" customHeight="1" spans="5:11" x14ac:dyDescent="0.25">
      <c r="E24" s="48" t="s">
        <v>387</v>
      </c>
      <c r="F24" s="49">
        <v>6</v>
      </c>
      <c r="G24" s="50">
        <f t="shared" si="3"/>
        <v>0.46153846153846156</v>
      </c>
      <c r="H24" s="51">
        <f>(B6-C4)/(B3-C8)</f>
        <v>0.43125</v>
      </c>
      <c r="I24" s="52">
        <f>(B3-C8)*G24</f>
        <v>369.2307692307692</v>
      </c>
      <c r="J24" s="53">
        <f>B6-C6</f>
        <v>354</v>
      </c>
      <c r="K24" s="54">
        <f>J24-I24</f>
        <v>-15.230769230769226</v>
      </c>
    </row>
    <row r="25" ht="16.5" customHeight="1" spans="5:11" x14ac:dyDescent="0.25">
      <c r="E25" s="56" t="s">
        <v>389</v>
      </c>
      <c r="F25" s="57">
        <v>4</v>
      </c>
      <c r="G25" s="58">
        <f t="shared" si="3"/>
        <v>0.3076923076923077</v>
      </c>
      <c r="H25" s="59">
        <f>(B7-C7)/(B3-C8)</f>
        <v>0.375</v>
      </c>
      <c r="I25" s="60">
        <f>(B3-C8)*G25</f>
        <v>246.15384615384616</v>
      </c>
      <c r="J25" s="61">
        <f>B7-C7</f>
        <v>300</v>
      </c>
      <c r="K25" s="62">
        <f>J25-I25</f>
        <v>53.84615384615384</v>
      </c>
    </row>
    <row r="26" spans="5:11" x14ac:dyDescent="0.25">
      <c r="E26" s="5" t="s">
        <v>394</v>
      </c>
      <c r="F26" s="5"/>
      <c r="G26" s="5"/>
      <c r="H26" s="64">
        <f>C8/B9</f>
        <v>0.12280701754385964</v>
      </c>
      <c r="I26" s="5"/>
      <c r="J26" s="65">
        <f>C8</f>
        <v>112</v>
      </c>
      <c r="K26" s="5"/>
    </row>
    <row r="28" ht="15.75" customHeight="1" spans="8:11" x14ac:dyDescent="0.25">
      <c r="H28" t="s">
        <v>390</v>
      </c>
      <c r="J28">
        <f>SUM(J23:J26)</f>
        <v>912</v>
      </c>
      <c r="K28" s="66">
        <f>SUM(K23:K25)</f>
        <v>0</v>
      </c>
    </row>
  </sheetData>
  <mergeCells count="4">
    <mergeCell ref="A1:B1"/>
    <mergeCell ref="A2:B2"/>
    <mergeCell ref="E3:H3"/>
    <mergeCell ref="E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AHL</vt:lpstr>
      <vt:lpstr>AHL_DAT</vt:lpstr>
      <vt:lpstr>AHL_DAT_STRING</vt:lpstr>
      <vt:lpstr>Stevilo tekem po drzavah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2025-01-10T09:25:49Z</dcterms:modified>
</cp:coreProperties>
</file>