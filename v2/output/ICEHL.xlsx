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me" state="visible" r:id="rId4"/>
    <sheet sheetId="2" name="Sodniki" state="visible" r:id="rId5"/>
    <sheet sheetId="3" name="Log" state="visible" r:id="rId6"/>
  </sheets>
  <calcPr calcId="171027"/>
</workbook>
</file>

<file path=xl/sharedStrings.xml><?xml version="1.0" encoding="utf-8"?>
<sst xmlns="http://schemas.openxmlformats.org/spreadsheetml/2006/main" count="171" uniqueCount="73">
  <si>
    <t>Datum</t>
  </si>
  <si>
    <t>Ura</t>
  </si>
  <si>
    <t>Lokacija</t>
  </si>
  <si>
    <t>Domači</t>
  </si>
  <si>
    <t>Gosti</t>
  </si>
  <si>
    <t>HREF1</t>
  </si>
  <si>
    <t>HREF2</t>
  </si>
  <si>
    <t>REF1</t>
  </si>
  <si>
    <t>REF2</t>
  </si>
  <si>
    <t>Status</t>
  </si>
  <si>
    <t>2026-09-18</t>
  </si>
  <si>
    <t>19:15</t>
  </si>
  <si>
    <t>Eishalle Volksgarten Salzburg</t>
  </si>
  <si>
    <t>RBS</t>
  </si>
  <si>
    <t>KAC</t>
  </si>
  <si>
    <t>OfnerCh</t>
  </si>
  <si>
    <t>SternatCh</t>
  </si>
  <si>
    <t>RieckenSi</t>
  </si>
  <si>
    <t>ZacherlPa</t>
  </si>
  <si>
    <t>confirmed</t>
  </si>
  <si>
    <t>19:30</t>
  </si>
  <si>
    <t>Feldkirch Vorarlberghalle</t>
  </si>
  <si>
    <t>PIV</t>
  </si>
  <si>
    <t>VSV</t>
  </si>
  <si>
    <t>HolzerTo</t>
  </si>
  <si>
    <t>NikolicMa</t>
  </si>
  <si>
    <t>DivisDo</t>
  </si>
  <si>
    <t>FleischmannLu</t>
  </si>
  <si>
    <t>18:30</t>
  </si>
  <si>
    <t>FTC-Telekom Rink</t>
  </si>
  <si>
    <t>FTC</t>
  </si>
  <si>
    <t>OLL</t>
  </si>
  <si>
    <t>Peter gebeiGe</t>
  </si>
  <si>
    <t>SmetanaLa</t>
  </si>
  <si>
    <t>MuzsikNo</t>
  </si>
  <si>
    <t>SabianBa</t>
  </si>
  <si>
    <t>Ifjabb Ocskay Gábor Jégcsarnok</t>
  </si>
  <si>
    <t>AVS</t>
  </si>
  <si>
    <t>BWL</t>
  </si>
  <si>
    <t>FichtnerPa</t>
  </si>
  <si>
    <t>HlavatyAl</t>
  </si>
  <si>
    <t>DurmisOt</t>
  </si>
  <si>
    <t>KovacsPe</t>
  </si>
  <si>
    <t>Innsbruck TIWAG Arena</t>
  </si>
  <si>
    <t>HCI</t>
  </si>
  <si>
    <t>MHC</t>
  </si>
  <si>
    <t>Huber rRe</t>
  </si>
  <si>
    <t>KainbergerJu</t>
  </si>
  <si>
    <t>BedynekSe</t>
  </si>
  <si>
    <t>StrimitzerDa</t>
  </si>
  <si>
    <t>19:45</t>
  </si>
  <si>
    <t>Intercable Arena Bruneck</t>
  </si>
  <si>
    <t>HCP</t>
  </si>
  <si>
    <t>G99</t>
  </si>
  <si>
    <t>NikolicKr</t>
  </si>
  <si>
    <t>RivisFe</t>
  </si>
  <si>
    <t>Dummermuth-haasEl</t>
  </si>
  <si>
    <t>Jaka zgoncGa</t>
  </si>
  <si>
    <t>Sparkasse Arena Bozen</t>
  </si>
  <si>
    <t>HCB</t>
  </si>
  <si>
    <t>VIC</t>
  </si>
  <si>
    <t>Huber aAn</t>
  </si>
  <si>
    <t>SchauerJa</t>
  </si>
  <si>
    <t>PardatscherUl</t>
  </si>
  <si>
    <t>PuffWo</t>
  </si>
  <si>
    <t>Čas</t>
  </si>
  <si>
    <t>Tip</t>
  </si>
  <si>
    <t>Datum tekme</t>
  </si>
  <si>
    <t>Pozicija</t>
  </si>
  <si>
    <t>Staro</t>
  </si>
  <si>
    <t>Novo</t>
  </si>
  <si>
    <t>2026-09-18T12:44:29.929Z</t>
  </si>
  <si>
    <t>nova_tekma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</si>
</sst>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2" customWidth="1"/>
    <col min="2" max="2" width="8" customWidth="1"/>
    <col min="3" max="3" width="30" customWidth="1"/>
    <col min="4" max="5" width="20" customWidth="1"/>
    <col min="6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0" x14ac:dyDescent="0.25">
      <c r="A5" t="s">
        <v>10</v>
      </c>
      <c r="B5" t="s">
        <v>11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19</v>
      </c>
    </row>
    <row r="6" spans="1:10" x14ac:dyDescent="0.25">
      <c r="A6" t="s">
        <v>10</v>
      </c>
      <c r="B6" t="s">
        <v>11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19</v>
      </c>
    </row>
    <row r="7" spans="1:10" x14ac:dyDescent="0.25">
      <c r="A7" t="s">
        <v>10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19</v>
      </c>
    </row>
    <row r="8" spans="1:10" x14ac:dyDescent="0.25">
      <c r="A8" t="s">
        <v>10</v>
      </c>
      <c r="B8" t="s">
        <v>50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4"/>
  <sheetFormatPr defaultRowHeight="15" outlineLevelRow="0" outlineLevelCol="0" x14ac:dyDescent="55"/>
  <cols>
    <col min="1" max="28" width="14" customWidth="1"/>
  </cols>
  <sheetData>
    <row r="2" spans="1:28" s="2" customFormat="1" x14ac:dyDescent="0.25">
      <c r="A2" s="2">
        <f>COUNTA(A4:A500)</f>
      </c>
      <c r="B2" s="2">
        <f>COUNTA(B4:B500)</f>
      </c>
      <c r="C2" s="2">
        <f>COUNTA(C4:C500)</f>
      </c>
      <c r="D2" s="2">
        <f>COUNTA(D4:D500)</f>
      </c>
      <c r="E2" s="2">
        <f>COUNTA(E4:E500)</f>
      </c>
      <c r="F2" s="2">
        <f>COUNTA(F4:F500)</f>
      </c>
      <c r="G2" s="2">
        <f>COUNTA(G4:G500)</f>
      </c>
      <c r="H2" s="2">
        <f>COUNTA(H4:H500)</f>
      </c>
      <c r="I2" s="2">
        <f>COUNTA(I4:I500)</f>
      </c>
      <c r="J2" s="2">
        <f>COUNTA(J4:J500)</f>
      </c>
      <c r="K2" s="2">
        <f>COUNTA(K4:K500)</f>
      </c>
      <c r="L2" s="2">
        <f>COUNTA(L4:L500)</f>
      </c>
      <c r="M2" s="2">
        <f>COUNTA(M4:M500)</f>
      </c>
      <c r="N2" s="2">
        <f>COUNTA(N4:N500)</f>
      </c>
      <c r="O2" s="2">
        <f>COUNTA(O4:O500)</f>
      </c>
      <c r="P2" s="2">
        <f>COUNTA(P4:P500)</f>
      </c>
      <c r="Q2" s="2">
        <f>COUNTA(Q4:Q500)</f>
      </c>
      <c r="R2" s="2">
        <f>COUNTA(R4:R500)</f>
      </c>
      <c r="S2" s="2">
        <f>COUNTA(S4:S500)</f>
      </c>
      <c r="T2" s="2">
        <f>COUNTA(T4:T500)</f>
      </c>
      <c r="U2" s="2">
        <f>COUNTA(U4:U500)</f>
      </c>
      <c r="V2" s="2">
        <f>COUNTA(V4:V500)</f>
      </c>
      <c r="W2" s="2">
        <f>COUNTA(W4:W500)</f>
      </c>
      <c r="X2" s="2">
        <f>COUNTA(X4:X500)</f>
      </c>
      <c r="Y2" s="2">
        <f>COUNTA(Y4:Y500)</f>
      </c>
      <c r="Z2" s="2">
        <f>COUNTA(Z4:Z500)</f>
      </c>
      <c r="AA2" s="2">
        <f>COUNTA(AA4:AA500)</f>
      </c>
      <c r="AB2" s="2">
        <f>COUNTA(AB4:AB500)</f>
      </c>
    </row>
    <row r="3" spans="1:28" s="1" customFormat="1" x14ac:dyDescent="0.25">
      <c r="A3" s="1" t="s">
        <v>48</v>
      </c>
      <c r="B3" s="1" t="s">
        <v>26</v>
      </c>
      <c r="C3" s="1" t="s">
        <v>56</v>
      </c>
      <c r="D3" s="1" t="s">
        <v>41</v>
      </c>
      <c r="E3" s="1" t="s">
        <v>39</v>
      </c>
      <c r="F3" s="1" t="s">
        <v>27</v>
      </c>
      <c r="G3" s="1" t="s">
        <v>40</v>
      </c>
      <c r="H3" s="1" t="s">
        <v>24</v>
      </c>
      <c r="I3" s="1" t="s">
        <v>61</v>
      </c>
      <c r="J3" s="1" t="s">
        <v>46</v>
      </c>
      <c r="K3" s="1" t="s">
        <v>57</v>
      </c>
      <c r="L3" s="1" t="s">
        <v>47</v>
      </c>
      <c r="M3" s="1" t="s">
        <v>42</v>
      </c>
      <c r="N3" s="1" t="s">
        <v>34</v>
      </c>
      <c r="O3" s="1" t="s">
        <v>54</v>
      </c>
      <c r="P3" s="1" t="s">
        <v>25</v>
      </c>
      <c r="Q3" s="1" t="s">
        <v>15</v>
      </c>
      <c r="R3" s="1" t="s">
        <v>63</v>
      </c>
      <c r="S3" s="1" t="s">
        <v>32</v>
      </c>
      <c r="T3" s="1" t="s">
        <v>64</v>
      </c>
      <c r="U3" s="1" t="s">
        <v>17</v>
      </c>
      <c r="V3" s="1" t="s">
        <v>55</v>
      </c>
      <c r="W3" s="1" t="s">
        <v>35</v>
      </c>
      <c r="X3" s="1" t="s">
        <v>62</v>
      </c>
      <c r="Y3" s="1" t="s">
        <v>33</v>
      </c>
      <c r="Z3" s="1" t="s">
        <v>16</v>
      </c>
      <c r="AA3" s="1" t="s">
        <v>49</v>
      </c>
      <c r="AB3" s="1" t="s">
        <v>18</v>
      </c>
    </row>
    <row r="4" spans="1:28" x14ac:dyDescent="0.25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8" customWidth="1"/>
    <col min="5" max="5" width="10" customWidth="1"/>
    <col min="6" max="7" width="14" customWidth="1"/>
  </cols>
  <sheetData>
    <row r="1" spans="1:7" s="1" customFormat="1" x14ac:dyDescent="0.25">
      <c r="A1" s="1" t="s">
        <v>65</v>
      </c>
      <c r="B1" s="1" t="s">
        <v>66</v>
      </c>
      <c r="C1" s="1" t="s">
        <v>67</v>
      </c>
      <c r="D1" s="1" t="s">
        <v>2</v>
      </c>
      <c r="E1" s="1" t="s">
        <v>68</v>
      </c>
      <c r="F1" s="1" t="s">
        <v>69</v>
      </c>
      <c r="G1" s="1" t="s">
        <v>70</v>
      </c>
    </row>
    <row r="2" spans="1:4" x14ac:dyDescent="0.25">
      <c r="A2" t="s">
        <v>71</v>
      </c>
      <c r="B2" t="s">
        <v>72</v>
      </c>
      <c r="C2" t="s">
        <v>10</v>
      </c>
      <c r="D2" t="s">
        <v>58</v>
      </c>
    </row>
    <row r="3" spans="1:4" x14ac:dyDescent="0.25">
      <c r="A3" t="s">
        <v>71</v>
      </c>
      <c r="B3" t="s">
        <v>72</v>
      </c>
      <c r="C3" t="s">
        <v>10</v>
      </c>
      <c r="D3" t="s">
        <v>51</v>
      </c>
    </row>
    <row r="4" spans="1:4" x14ac:dyDescent="0.25">
      <c r="A4" t="s">
        <v>71</v>
      </c>
      <c r="B4" t="s">
        <v>72</v>
      </c>
      <c r="C4" t="s">
        <v>10</v>
      </c>
      <c r="D4" t="s">
        <v>21</v>
      </c>
    </row>
    <row r="5" spans="1:4" x14ac:dyDescent="0.25">
      <c r="A5" t="s">
        <v>71</v>
      </c>
      <c r="B5" t="s">
        <v>72</v>
      </c>
      <c r="C5" t="s">
        <v>10</v>
      </c>
      <c r="D5" t="s">
        <v>36</v>
      </c>
    </row>
    <row r="6" spans="1:4" x14ac:dyDescent="0.25">
      <c r="A6" t="s">
        <v>71</v>
      </c>
      <c r="B6" t="s">
        <v>72</v>
      </c>
      <c r="C6" t="s">
        <v>10</v>
      </c>
      <c r="D6" t="s">
        <v>43</v>
      </c>
    </row>
    <row r="7" spans="1:4" x14ac:dyDescent="0.25">
      <c r="A7" t="s">
        <v>71</v>
      </c>
      <c r="B7" t="s">
        <v>72</v>
      </c>
      <c r="C7" t="s">
        <v>10</v>
      </c>
      <c r="D7" t="s">
        <v>12</v>
      </c>
    </row>
    <row r="8" spans="1:4" x14ac:dyDescent="0.25">
      <c r="A8" t="s">
        <v>71</v>
      </c>
      <c r="B8" t="s">
        <v>72</v>
      </c>
      <c r="C8" t="s">
        <v>10</v>
      </c>
      <c r="D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Tekme</vt:lpstr>
      <vt:lpstr>Sodniki</vt:lpstr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2026-09-18T12:52:51Z</dcterms:created>
  <dcterms:modified xsi:type="dcterms:W3CDTF">2026-09-18T12:52:51Z</dcterms:modified>
</cp:coreProperties>
</file>